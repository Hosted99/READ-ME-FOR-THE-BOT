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acks Log" sheetId="1" state="visible" r:id="rId3"/>
    <sheet name="Summary by Player" sheetId="2" state="visible" r:id="rId4"/>
    <sheet name="By Player &amp; Bo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<sst xmlns="http://schemas.openxmlformats.org/spreadsheetml/2006/main" count="179" uniqueCount="37">
  <si>
    <t xml:space="preserve">Player</t>
  </si>
  <si>
    <t xml:space="preserve">Boss Level</t>
  </si>
  <si>
    <t xml:space="preserve">DMG (M)</t>
  </si>
  <si>
    <t xml:space="preserve">Jassy</t>
  </si>
  <si>
    <t xml:space="preserve">CRYBABYx2</t>
  </si>
  <si>
    <t xml:space="preserve">Louxis</t>
  </si>
  <si>
    <t xml:space="preserve">Hosted</t>
  </si>
  <si>
    <t xml:space="preserve">LCN.LuckyToni</t>
  </si>
  <si>
    <t xml:space="preserve">Akagam</t>
  </si>
  <si>
    <t xml:space="preserve">Clou.D.sunny</t>
  </si>
  <si>
    <t xml:space="preserve">MUGIWARA</t>
  </si>
  <si>
    <t xml:space="preserve">SuperBahamas</t>
  </si>
  <si>
    <t xml:space="preserve">LCN.Kim</t>
  </si>
  <si>
    <t xml:space="preserve">Total Attacks</t>
  </si>
  <si>
    <t xml:space="preserve">Total DMG (M)</t>
  </si>
  <si>
    <t xml:space="preserve">Avg DMG per Attack (M)</t>
  </si>
  <si>
    <t xml:space="preserve">TOTAL</t>
  </si>
  <si>
    <t xml:space="preserve">Lv.1</t>
  </si>
  <si>
    <t xml:space="preserve">Lv.2</t>
  </si>
  <si>
    <t xml:space="preserve">Lv.3</t>
  </si>
  <si>
    <t xml:space="preserve">Lv.4</t>
  </si>
  <si>
    <t xml:space="preserve">Lv.5</t>
  </si>
  <si>
    <t xml:space="preserve">Lv.6</t>
  </si>
  <si>
    <t xml:space="preserve">Lv.7</t>
  </si>
  <si>
    <t xml:space="preserve">Lv.8</t>
  </si>
  <si>
    <t xml:space="preserve">Lv.9</t>
  </si>
  <si>
    <t xml:space="preserve">Lv.10</t>
  </si>
  <si>
    <t xml:space="preserve">Lv.11</t>
  </si>
  <si>
    <t xml:space="preserve">Lv.12</t>
  </si>
  <si>
    <t xml:space="preserve">Lv.13</t>
  </si>
  <si>
    <t xml:space="preserve">Lv.14</t>
  </si>
  <si>
    <t xml:space="preserve">Lv.15</t>
  </si>
  <si>
    <t xml:space="preserve">Lv.16</t>
  </si>
  <si>
    <t xml:space="preserve">Lv.17</t>
  </si>
  <si>
    <t xml:space="preserve">Lv.18</t>
  </si>
  <si>
    <t xml:space="preserve">Lv.19</t>
  </si>
  <si>
    <t xml:space="preserve">Lv.20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</si>
</sst>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1</v>
      </c>
      <c r="C2" s="3" t="n">
        <v>1122.29</v>
      </c>
    </row>
    <row r="3" customFormat="false" ht="15" hidden="false" customHeight="false" outlineLevel="0" collapsed="false">
      <c r="A3" s="2" t="s">
        <v>4</v>
      </c>
      <c r="B3" s="2" t="n">
        <v>1</v>
      </c>
      <c r="C3" s="3" t="n">
        <v>4642.76</v>
      </c>
    </row>
    <row r="4" customFormat="false" ht="15" hidden="false" customHeight="false" outlineLevel="0" collapsed="false">
      <c r="A4" s="2" t="s">
        <v>3</v>
      </c>
      <c r="B4" s="2" t="n">
        <v>2</v>
      </c>
      <c r="C4" s="3" t="n">
        <v>349.36</v>
      </c>
    </row>
    <row r="5" customFormat="false" ht="15" hidden="false" customHeight="false" outlineLevel="0" collapsed="false">
      <c r="A5" s="2" t="s">
        <v>4</v>
      </c>
      <c r="B5" s="2" t="n">
        <v>2</v>
      </c>
      <c r="C5" s="3" t="n">
        <v>7071.88</v>
      </c>
    </row>
    <row r="6" customFormat="false" ht="15" hidden="false" customHeight="false" outlineLevel="0" collapsed="false">
      <c r="A6" s="2" t="s">
        <v>3</v>
      </c>
      <c r="B6" s="2" t="n">
        <v>3</v>
      </c>
      <c r="C6" s="3" t="n">
        <v>277.56</v>
      </c>
    </row>
    <row r="7" customFormat="false" ht="15" hidden="false" customHeight="false" outlineLevel="0" collapsed="false">
      <c r="A7" s="2" t="s">
        <v>3</v>
      </c>
      <c r="B7" s="2" t="n">
        <v>3</v>
      </c>
      <c r="C7" s="3" t="n">
        <v>614.1</v>
      </c>
    </row>
    <row r="8" customFormat="false" ht="15" hidden="false" customHeight="false" outlineLevel="0" collapsed="false">
      <c r="A8" s="2" t="s">
        <v>4</v>
      </c>
      <c r="B8" s="2" t="n">
        <v>3</v>
      </c>
      <c r="C8" s="3" t="n">
        <v>8978.54</v>
      </c>
    </row>
    <row r="9" customFormat="false" ht="15" hidden="false" customHeight="false" outlineLevel="0" collapsed="false">
      <c r="A9" s="2" t="s">
        <v>5</v>
      </c>
      <c r="B9" s="2" t="n">
        <v>3</v>
      </c>
      <c r="C9" s="3" t="n">
        <v>7827.09</v>
      </c>
    </row>
    <row r="10" customFormat="false" ht="15" hidden="false" customHeight="false" outlineLevel="0" collapsed="false">
      <c r="A10" s="2" t="s">
        <v>4</v>
      </c>
      <c r="B10" s="2" t="n">
        <v>4</v>
      </c>
      <c r="C10" s="3" t="n">
        <v>6489.82</v>
      </c>
    </row>
    <row r="11" customFormat="false" ht="15" hidden="false" customHeight="false" outlineLevel="0" collapsed="false">
      <c r="A11" s="2" t="s">
        <v>3</v>
      </c>
      <c r="B11" s="2" t="n">
        <v>4</v>
      </c>
      <c r="C11" s="3" t="n">
        <v>226.07</v>
      </c>
    </row>
    <row r="12" customFormat="false" ht="15" hidden="false" customHeight="false" outlineLevel="0" collapsed="false">
      <c r="A12" s="2" t="s">
        <v>4</v>
      </c>
      <c r="B12" s="2" t="n">
        <v>4</v>
      </c>
      <c r="C12" s="3" t="n">
        <v>5386.78</v>
      </c>
    </row>
    <row r="13" customFormat="false" ht="15" hidden="false" customHeight="false" outlineLevel="0" collapsed="false">
      <c r="A13" s="2" t="s">
        <v>5</v>
      </c>
      <c r="B13" s="2" t="n">
        <v>4</v>
      </c>
      <c r="C13" s="3" t="n">
        <v>6157.13</v>
      </c>
    </row>
    <row r="14" customFormat="false" ht="15" hidden="false" customHeight="false" outlineLevel="0" collapsed="false">
      <c r="A14" s="2" t="s">
        <v>5</v>
      </c>
      <c r="B14" s="2" t="n">
        <v>5</v>
      </c>
      <c r="C14" s="3" t="n">
        <v>8254.86</v>
      </c>
    </row>
    <row r="15" customFormat="false" ht="15" hidden="false" customHeight="false" outlineLevel="0" collapsed="false">
      <c r="A15" s="2" t="s">
        <v>6</v>
      </c>
      <c r="B15" s="2" t="n">
        <v>5</v>
      </c>
      <c r="C15" s="3" t="n">
        <v>6832.36</v>
      </c>
    </row>
    <row r="16" customFormat="false" ht="15" hidden="false" customHeight="false" outlineLevel="0" collapsed="false">
      <c r="A16" s="2" t="s">
        <v>6</v>
      </c>
      <c r="B16" s="2" t="n">
        <v>5</v>
      </c>
      <c r="C16" s="3" t="n">
        <v>6261.9</v>
      </c>
    </row>
    <row r="17" customFormat="false" ht="15" hidden="false" customHeight="false" outlineLevel="0" collapsed="false">
      <c r="A17" s="2" t="s">
        <v>5</v>
      </c>
      <c r="B17" s="2" t="n">
        <v>5</v>
      </c>
      <c r="C17" s="3" t="n">
        <v>8470.4</v>
      </c>
    </row>
    <row r="18" customFormat="false" ht="15" hidden="false" customHeight="false" outlineLevel="0" collapsed="false">
      <c r="A18" s="2" t="s">
        <v>6</v>
      </c>
      <c r="B18" s="2" t="n">
        <v>6</v>
      </c>
      <c r="C18" s="3" t="n">
        <v>9660.03</v>
      </c>
    </row>
    <row r="19" customFormat="false" ht="15" hidden="false" customHeight="false" outlineLevel="0" collapsed="false">
      <c r="A19" s="2" t="s">
        <v>7</v>
      </c>
      <c r="B19" s="2" t="n">
        <v>6</v>
      </c>
      <c r="C19" s="3" t="n">
        <v>9377.72</v>
      </c>
    </row>
    <row r="20" customFormat="false" ht="15" hidden="false" customHeight="false" outlineLevel="0" collapsed="false">
      <c r="A20" s="2" t="s">
        <v>6</v>
      </c>
      <c r="B20" s="2" t="n">
        <v>6</v>
      </c>
      <c r="C20" s="3" t="n">
        <v>6795.5</v>
      </c>
    </row>
    <row r="21" customFormat="false" ht="15" hidden="false" customHeight="false" outlineLevel="0" collapsed="false">
      <c r="A21" s="2" t="s">
        <v>7</v>
      </c>
      <c r="B21" s="2" t="n">
        <v>6</v>
      </c>
      <c r="C21" s="3" t="n">
        <v>5382.06</v>
      </c>
    </row>
    <row r="22" customFormat="false" ht="15" hidden="false" customHeight="false" outlineLevel="0" collapsed="false">
      <c r="A22" s="2" t="s">
        <v>7</v>
      </c>
      <c r="B22" s="2" t="n">
        <v>7</v>
      </c>
      <c r="C22" s="3" t="n">
        <v>8102.42</v>
      </c>
    </row>
    <row r="23" customFormat="false" ht="15" hidden="false" customHeight="false" outlineLevel="0" collapsed="false">
      <c r="A23" s="2" t="s">
        <v>8</v>
      </c>
      <c r="B23" s="2" t="n">
        <v>7</v>
      </c>
      <c r="C23" s="3" t="n">
        <v>9328.11</v>
      </c>
    </row>
    <row r="24" customFormat="false" ht="15" hidden="false" customHeight="false" outlineLevel="0" collapsed="false">
      <c r="A24" s="2" t="s">
        <v>5</v>
      </c>
      <c r="B24" s="2" t="n">
        <v>7</v>
      </c>
      <c r="C24" s="3" t="n">
        <v>7293.29</v>
      </c>
    </row>
    <row r="25" customFormat="false" ht="15" hidden="false" customHeight="false" outlineLevel="0" collapsed="false">
      <c r="A25" s="2" t="s">
        <v>6</v>
      </c>
      <c r="B25" s="2" t="n">
        <v>7</v>
      </c>
      <c r="C25" s="3" t="n">
        <v>4386.29</v>
      </c>
    </row>
    <row r="26" customFormat="false" ht="15" hidden="false" customHeight="false" outlineLevel="0" collapsed="false">
      <c r="A26" s="2" t="s">
        <v>8</v>
      </c>
      <c r="B26" s="2" t="n">
        <v>7</v>
      </c>
      <c r="C26" s="3" t="n">
        <v>10406.7</v>
      </c>
    </row>
    <row r="27" customFormat="false" ht="15" hidden="false" customHeight="false" outlineLevel="0" collapsed="false">
      <c r="A27" s="2" t="s">
        <v>7</v>
      </c>
      <c r="B27" s="2" t="n">
        <v>8</v>
      </c>
      <c r="C27" s="3" t="n">
        <v>13454.76</v>
      </c>
    </row>
    <row r="28" customFormat="false" ht="15" hidden="false" customHeight="false" outlineLevel="0" collapsed="false">
      <c r="A28" s="2" t="s">
        <v>7</v>
      </c>
      <c r="B28" s="2" t="n">
        <v>8</v>
      </c>
      <c r="C28" s="3" t="n">
        <v>6869.35</v>
      </c>
    </row>
    <row r="29" customFormat="false" ht="15" hidden="false" customHeight="false" outlineLevel="0" collapsed="false">
      <c r="A29" s="2" t="s">
        <v>9</v>
      </c>
      <c r="B29" s="2" t="n">
        <v>8</v>
      </c>
      <c r="C29" s="3" t="n">
        <v>21579.87</v>
      </c>
    </row>
    <row r="30" customFormat="false" ht="15" hidden="false" customHeight="false" outlineLevel="0" collapsed="false">
      <c r="A30" s="2" t="s">
        <v>8</v>
      </c>
      <c r="B30" s="2" t="n">
        <v>9</v>
      </c>
      <c r="C30" s="3" t="n">
        <v>11773.1</v>
      </c>
    </row>
    <row r="31" customFormat="false" ht="15" hidden="false" customHeight="false" outlineLevel="0" collapsed="false">
      <c r="A31" s="2" t="s">
        <v>8</v>
      </c>
      <c r="B31" s="2" t="n">
        <v>9</v>
      </c>
      <c r="C31" s="3" t="n">
        <v>10619.07</v>
      </c>
    </row>
    <row r="32" customFormat="false" ht="15" hidden="false" customHeight="false" outlineLevel="0" collapsed="false">
      <c r="A32" s="2" t="s">
        <v>9</v>
      </c>
      <c r="B32" s="2" t="n">
        <v>9</v>
      </c>
      <c r="C32" s="3" t="n">
        <v>14712.27</v>
      </c>
    </row>
    <row r="33" customFormat="false" ht="15" hidden="false" customHeight="false" outlineLevel="0" collapsed="false">
      <c r="A33" s="2" t="s">
        <v>10</v>
      </c>
      <c r="B33" s="2" t="n">
        <v>10</v>
      </c>
      <c r="C33" s="3" t="n">
        <v>36197.43</v>
      </c>
    </row>
    <row r="34" customFormat="false" ht="15" hidden="false" customHeight="false" outlineLevel="0" collapsed="false">
      <c r="A34" s="2" t="s">
        <v>8</v>
      </c>
      <c r="B34" s="2" t="n">
        <v>10</v>
      </c>
      <c r="C34" s="3" t="n">
        <v>8445.22</v>
      </c>
    </row>
    <row r="35" customFormat="false" ht="15" hidden="false" customHeight="false" outlineLevel="0" collapsed="false">
      <c r="A35" s="2" t="s">
        <v>9</v>
      </c>
      <c r="B35" s="2" t="n">
        <v>10</v>
      </c>
      <c r="C35" s="3" t="n">
        <v>5566.85</v>
      </c>
    </row>
    <row r="36" customFormat="false" ht="15" hidden="false" customHeight="false" outlineLevel="0" collapsed="false">
      <c r="A36" s="2" t="s">
        <v>10</v>
      </c>
      <c r="B36" s="2" t="n">
        <v>11</v>
      </c>
      <c r="C36" s="3" t="n">
        <v>37907.38</v>
      </c>
    </row>
    <row r="37" customFormat="false" ht="15" hidden="false" customHeight="false" outlineLevel="0" collapsed="false">
      <c r="A37" s="2" t="s">
        <v>11</v>
      </c>
      <c r="B37" s="2" t="n">
        <v>11</v>
      </c>
      <c r="C37" s="3" t="n">
        <v>31351.43</v>
      </c>
    </row>
    <row r="38" customFormat="false" ht="15" hidden="false" customHeight="false" outlineLevel="0" collapsed="false">
      <c r="A38" s="2" t="s">
        <v>11</v>
      </c>
      <c r="B38" s="2" t="n">
        <v>12</v>
      </c>
      <c r="C38" s="3" t="n">
        <v>32456.4</v>
      </c>
    </row>
    <row r="39" customFormat="false" ht="15" hidden="false" customHeight="false" outlineLevel="0" collapsed="false">
      <c r="A39" s="2" t="s">
        <v>10</v>
      </c>
      <c r="B39" s="2" t="n">
        <v>12</v>
      </c>
      <c r="C39" s="3" t="n">
        <v>29628.17</v>
      </c>
    </row>
    <row r="40" customFormat="false" ht="15" hidden="false" customHeight="false" outlineLevel="0" collapsed="false">
      <c r="A40" s="2" t="s">
        <v>9</v>
      </c>
      <c r="B40" s="2" t="n">
        <v>12</v>
      </c>
      <c r="C40" s="3" t="n">
        <v>8462.7</v>
      </c>
    </row>
    <row r="41" customFormat="false" ht="15" hidden="false" customHeight="false" outlineLevel="0" collapsed="false">
      <c r="A41" s="2" t="s">
        <v>11</v>
      </c>
      <c r="B41" s="2" t="n">
        <v>13</v>
      </c>
      <c r="C41" s="3" t="n">
        <v>58239.61</v>
      </c>
    </row>
    <row r="42" customFormat="false" ht="15" hidden="false" customHeight="false" outlineLevel="0" collapsed="false">
      <c r="A42" s="2" t="s">
        <v>9</v>
      </c>
      <c r="B42" s="2" t="n">
        <v>13</v>
      </c>
      <c r="C42" s="3" t="n">
        <v>17793.25</v>
      </c>
    </row>
    <row r="43" customFormat="false" ht="15" hidden="false" customHeight="false" outlineLevel="0" collapsed="false">
      <c r="A43" s="2" t="s">
        <v>10</v>
      </c>
      <c r="B43" s="2" t="n">
        <v>13</v>
      </c>
      <c r="C43" s="3" t="n">
        <v>29852.27</v>
      </c>
    </row>
    <row r="44" customFormat="false" ht="15" hidden="false" customHeight="false" outlineLevel="0" collapsed="false">
      <c r="A44" s="2" t="s">
        <v>10</v>
      </c>
      <c r="B44" s="2" t="n">
        <v>13</v>
      </c>
      <c r="C44" s="3" t="n">
        <v>9657.76</v>
      </c>
    </row>
    <row r="45" customFormat="false" ht="15" hidden="false" customHeight="false" outlineLevel="0" collapsed="false">
      <c r="A45" s="2" t="s">
        <v>12</v>
      </c>
      <c r="B45" s="2" t="n">
        <v>14</v>
      </c>
      <c r="C45" s="3" t="n">
        <v>6540.81</v>
      </c>
    </row>
    <row r="46" customFormat="false" ht="15" hidden="false" customHeight="false" outlineLevel="0" collapsed="false">
      <c r="A46" s="2" t="s">
        <v>11</v>
      </c>
      <c r="B46" s="2" t="n">
        <v>14</v>
      </c>
      <c r="C46" s="3" t="n">
        <v>32252.08</v>
      </c>
    </row>
    <row r="47" customFormat="false" ht="15" hidden="false" customHeight="false" outlineLevel="0" collapsed="false">
      <c r="A47" s="2" t="s">
        <v>12</v>
      </c>
      <c r="B47" s="2" t="n">
        <v>14</v>
      </c>
      <c r="C47" s="3" t="n">
        <v>5145.26</v>
      </c>
    </row>
    <row r="48" customFormat="false" ht="15" hidden="false" customHeight="false" outlineLevel="0" collapsed="false">
      <c r="A48" s="2" t="s">
        <v>12</v>
      </c>
      <c r="B48" s="2" t="n">
        <v>14</v>
      </c>
      <c r="C48" s="3" t="n">
        <v>5499.54</v>
      </c>
    </row>
    <row r="49" customFormat="false" ht="15" hidden="false" customHeight="false" outlineLevel="0" collapsed="false">
      <c r="A49" s="2" t="s">
        <v>12</v>
      </c>
      <c r="B49" s="2" t="n">
        <v>14</v>
      </c>
      <c r="C49" s="3" t="n">
        <v>7476.99</v>
      </c>
    </row>
    <row r="50" customFormat="false" ht="15" hidden="false" customHeight="false" outlineLevel="0" collapsed="false">
      <c r="A50" s="2" t="s">
        <v>11</v>
      </c>
      <c r="B50" s="2" t="n">
        <v>14</v>
      </c>
      <c r="C50" s="3" t="n">
        <v>41725.96</v>
      </c>
    </row>
    <row r="51" customFormat="false" ht="15" hidden="false" customHeight="false" outlineLevel="0" collapsed="false">
      <c r="A51" s="2" t="s">
        <v>12</v>
      </c>
      <c r="B51" s="2" t="n">
        <v>14</v>
      </c>
      <c r="C51" s="3" t="n">
        <v>5557.25</v>
      </c>
    </row>
    <row r="52" customFormat="false" ht="15" hidden="false" customHeight="false" outlineLevel="0" collapsed="false">
      <c r="A52" s="2" t="s">
        <v>4</v>
      </c>
      <c r="B52" s="2" t="n">
        <v>14</v>
      </c>
      <c r="C52" s="3" t="n">
        <v>5811.28</v>
      </c>
    </row>
    <row r="53" customFormat="false" ht="15" hidden="false" customHeight="false" outlineLevel="0" collapsed="false">
      <c r="A53" s="2" t="s">
        <v>9</v>
      </c>
      <c r="B53" s="2" t="n">
        <v>14</v>
      </c>
      <c r="C53" s="3" t="n">
        <v>9516.56</v>
      </c>
    </row>
    <row r="54" customFormat="false" ht="15" hidden="false" customHeight="false" outlineLevel="0" collapsed="false">
      <c r="A54" s="2" t="s">
        <v>10</v>
      </c>
      <c r="B54" s="2" t="n">
        <v>15</v>
      </c>
      <c r="C54" s="3" t="n">
        <v>46153.19</v>
      </c>
    </row>
    <row r="55" customFormat="false" ht="15" hidden="false" customHeight="false" outlineLevel="0" collapsed="false">
      <c r="A55" s="2" t="s">
        <v>6</v>
      </c>
      <c r="B55" s="2" t="n">
        <v>15</v>
      </c>
      <c r="C55" s="3" t="n">
        <v>8027.5</v>
      </c>
    </row>
    <row r="56" customFormat="false" ht="15" hidden="false" customHeight="false" outlineLevel="0" collapsed="false">
      <c r="A56" s="2" t="s">
        <v>11</v>
      </c>
      <c r="B56" s="2" t="n">
        <v>15</v>
      </c>
      <c r="C56" s="3" t="n">
        <v>33209.67</v>
      </c>
    </row>
    <row r="57" customFormat="false" ht="15" hidden="false" customHeight="false" outlineLevel="0" collapsed="false">
      <c r="A57" s="2" t="s">
        <v>3</v>
      </c>
      <c r="B57" s="2" t="n">
        <v>15</v>
      </c>
      <c r="C57" s="3" t="n">
        <v>128.24</v>
      </c>
    </row>
    <row r="58" customFormat="false" ht="15" hidden="false" customHeight="false" outlineLevel="0" collapsed="false">
      <c r="A58" s="2" t="s">
        <v>7</v>
      </c>
      <c r="B58" s="2" t="n">
        <v>15</v>
      </c>
      <c r="C58" s="3" t="n">
        <v>12572.68</v>
      </c>
    </row>
    <row r="59" customFormat="false" ht="15" hidden="false" customHeight="false" outlineLevel="0" collapsed="false">
      <c r="A59" s="2" t="s">
        <v>12</v>
      </c>
      <c r="B59" s="2" t="n">
        <v>15</v>
      </c>
      <c r="C59" s="3" t="n">
        <v>9014.85</v>
      </c>
    </row>
    <row r="60" customFormat="false" ht="15" hidden="false" customHeight="false" outlineLevel="0" collapsed="false">
      <c r="A60" s="2" t="s">
        <v>5</v>
      </c>
      <c r="B60" s="2" t="n">
        <v>15</v>
      </c>
      <c r="C60" s="3" t="n">
        <v>14075.58</v>
      </c>
    </row>
    <row r="61" customFormat="false" ht="15" hidden="false" customHeight="false" outlineLevel="0" collapsed="false">
      <c r="A61" s="2" t="s">
        <v>9</v>
      </c>
      <c r="B61" s="2" t="n">
        <v>15</v>
      </c>
      <c r="C61" s="3" t="n">
        <v>20073.61</v>
      </c>
    </row>
    <row r="62" customFormat="false" ht="15" hidden="false" customHeight="false" outlineLevel="0" collapsed="false">
      <c r="A62" s="2" t="s">
        <v>3</v>
      </c>
      <c r="B62" s="2" t="n">
        <v>16</v>
      </c>
      <c r="C62" s="3" t="n">
        <v>144.49</v>
      </c>
    </row>
    <row r="63" customFormat="false" ht="15" hidden="false" customHeight="false" outlineLevel="0" collapsed="false">
      <c r="A63" s="2" t="s">
        <v>10</v>
      </c>
      <c r="B63" s="2" t="n">
        <v>16</v>
      </c>
      <c r="C63" s="3" t="n">
        <v>34792.32</v>
      </c>
    </row>
    <row r="64" customFormat="false" ht="15" hidden="false" customHeight="false" outlineLevel="0" collapsed="false">
      <c r="A64" s="2" t="s">
        <v>11</v>
      </c>
      <c r="B64" s="2" t="n">
        <v>16</v>
      </c>
      <c r="C64" s="3" t="n">
        <v>48505.95</v>
      </c>
    </row>
    <row r="65" customFormat="false" ht="15" hidden="false" customHeight="false" outlineLevel="0" collapsed="false">
      <c r="A65" s="2" t="s">
        <v>7</v>
      </c>
      <c r="B65" s="2" t="n">
        <v>16</v>
      </c>
      <c r="C65" s="3" t="n">
        <v>9727.08</v>
      </c>
    </row>
    <row r="66" customFormat="false" ht="15" hidden="false" customHeight="false" outlineLevel="0" collapsed="false">
      <c r="A66" s="2" t="s">
        <v>4</v>
      </c>
      <c r="B66" s="2" t="n">
        <v>16</v>
      </c>
      <c r="C66" s="3" t="n">
        <v>4434.07</v>
      </c>
    </row>
    <row r="67" customFormat="false" ht="15" hidden="false" customHeight="false" outlineLevel="0" collapsed="false">
      <c r="A67" s="2" t="s">
        <v>8</v>
      </c>
      <c r="B67" s="2" t="n">
        <v>16</v>
      </c>
      <c r="C67" s="3" t="n">
        <v>9768.4</v>
      </c>
    </row>
    <row r="68" customFormat="false" ht="15" hidden="false" customHeight="false" outlineLevel="0" collapsed="false">
      <c r="A68" s="2" t="s">
        <v>8</v>
      </c>
      <c r="B68" s="2" t="n">
        <v>16</v>
      </c>
      <c r="C68" s="3" t="n">
        <v>11693.17</v>
      </c>
    </row>
    <row r="69" customFormat="false" ht="15" hidden="false" customHeight="false" outlineLevel="0" collapsed="false">
      <c r="A69" s="2" t="s">
        <v>12</v>
      </c>
      <c r="B69" s="2" t="n">
        <v>16</v>
      </c>
      <c r="C69" s="3" t="n">
        <v>10308.18</v>
      </c>
    </row>
    <row r="70" customFormat="false" ht="15" hidden="false" customHeight="false" outlineLevel="0" collapsed="false">
      <c r="A70" s="2" t="s">
        <v>9</v>
      </c>
      <c r="B70" s="2" t="n">
        <v>16</v>
      </c>
      <c r="C70" s="3" t="n">
        <v>544.77</v>
      </c>
    </row>
    <row r="71" customFormat="false" ht="15" hidden="false" customHeight="false" outlineLevel="0" collapsed="false">
      <c r="A71" s="2" t="s">
        <v>7</v>
      </c>
      <c r="B71" s="2" t="n">
        <v>17</v>
      </c>
      <c r="C71" s="3" t="n">
        <v>7468.99</v>
      </c>
    </row>
    <row r="72" customFormat="false" ht="15" hidden="false" customHeight="false" outlineLevel="0" collapsed="false">
      <c r="A72" s="2" t="s">
        <v>5</v>
      </c>
      <c r="B72" s="2" t="n">
        <v>17</v>
      </c>
      <c r="C72" s="3" t="n">
        <v>11784.81</v>
      </c>
    </row>
    <row r="73" customFormat="false" ht="15" hidden="false" customHeight="false" outlineLevel="0" collapsed="false">
      <c r="A73" s="2" t="s">
        <v>6</v>
      </c>
      <c r="B73" s="2" t="n">
        <v>17</v>
      </c>
      <c r="C73" s="3" t="n">
        <v>9715.04</v>
      </c>
    </row>
    <row r="74" customFormat="false" ht="15" hidden="false" customHeight="false" outlineLevel="0" collapsed="false">
      <c r="A74" s="2" t="s">
        <v>12</v>
      </c>
      <c r="B74" s="2" t="n">
        <v>17</v>
      </c>
      <c r="C74" s="3" t="n">
        <v>8149.2</v>
      </c>
    </row>
    <row r="75" customFormat="false" ht="15" hidden="false" customHeight="false" outlineLevel="0" collapsed="false">
      <c r="A75" s="2" t="s">
        <v>4</v>
      </c>
      <c r="B75" s="2" t="n">
        <v>17</v>
      </c>
      <c r="C75" s="3" t="n">
        <v>5879.17</v>
      </c>
    </row>
    <row r="76" customFormat="false" ht="15" hidden="false" customHeight="false" outlineLevel="0" collapsed="false">
      <c r="A76" s="2" t="s">
        <v>11</v>
      </c>
      <c r="B76" s="2" t="n">
        <v>17</v>
      </c>
      <c r="C76" s="3" t="n">
        <v>47636.7</v>
      </c>
    </row>
    <row r="77" customFormat="false" ht="15" hidden="false" customHeight="false" outlineLevel="0" collapsed="false">
      <c r="A77" s="2" t="s">
        <v>10</v>
      </c>
      <c r="B77" s="2" t="n">
        <v>17</v>
      </c>
      <c r="C77" s="3" t="n">
        <v>33519.89</v>
      </c>
    </row>
    <row r="78" customFormat="false" ht="15" hidden="false" customHeight="false" outlineLevel="0" collapsed="false">
      <c r="A78" s="2" t="s">
        <v>8</v>
      </c>
      <c r="B78" s="2" t="n">
        <v>17</v>
      </c>
      <c r="C78" s="3" t="n">
        <v>18028.89</v>
      </c>
    </row>
    <row r="79" customFormat="false" ht="15" hidden="false" customHeight="false" outlineLevel="0" collapsed="false">
      <c r="A79" s="2" t="s">
        <v>7</v>
      </c>
      <c r="B79" s="2" t="n">
        <v>17</v>
      </c>
      <c r="C79" s="3" t="n">
        <v>13746.76</v>
      </c>
    </row>
    <row r="80" customFormat="false" ht="15" hidden="false" customHeight="false" outlineLevel="0" collapsed="false">
      <c r="A80" s="2" t="s">
        <v>3</v>
      </c>
      <c r="B80" s="2" t="n">
        <v>17</v>
      </c>
      <c r="C80" s="3" t="n">
        <v>301.82</v>
      </c>
    </row>
    <row r="81" customFormat="false" ht="15" hidden="false" customHeight="false" outlineLevel="0" collapsed="false">
      <c r="A81" s="2" t="s">
        <v>9</v>
      </c>
      <c r="B81" s="2" t="n">
        <v>17</v>
      </c>
      <c r="C81" s="3" t="n">
        <v>31598.01</v>
      </c>
    </row>
    <row r="82" customFormat="false" ht="15" hidden="false" customHeight="false" outlineLevel="0" collapsed="false">
      <c r="A82" s="2" t="s">
        <v>3</v>
      </c>
      <c r="B82" s="2" t="n">
        <v>18</v>
      </c>
      <c r="C82" s="3" t="n">
        <v>72.93</v>
      </c>
    </row>
    <row r="83" customFormat="false" ht="15" hidden="false" customHeight="false" outlineLevel="0" collapsed="false">
      <c r="A83" s="2" t="s">
        <v>10</v>
      </c>
      <c r="B83" s="2" t="n">
        <v>18</v>
      </c>
      <c r="C83" s="3" t="n">
        <v>38779.32</v>
      </c>
    </row>
    <row r="84" customFormat="false" ht="15" hidden="false" customHeight="false" outlineLevel="0" collapsed="false">
      <c r="A84" s="2" t="s">
        <v>11</v>
      </c>
      <c r="B84" s="2" t="n">
        <v>18</v>
      </c>
      <c r="C84" s="3" t="n">
        <v>23062.14</v>
      </c>
    </row>
    <row r="85" customFormat="false" ht="15" hidden="false" customHeight="false" outlineLevel="0" collapsed="false">
      <c r="A85" s="2" t="s">
        <v>6</v>
      </c>
      <c r="B85" s="2" t="n">
        <v>18</v>
      </c>
      <c r="C85" s="3" t="n">
        <v>4803.6</v>
      </c>
    </row>
    <row r="86" customFormat="false" ht="15" hidden="false" customHeight="false" outlineLevel="0" collapsed="false">
      <c r="A86" s="2" t="s">
        <v>4</v>
      </c>
      <c r="B86" s="2" t="n">
        <v>18</v>
      </c>
      <c r="C86" s="3" t="n">
        <v>4935.11</v>
      </c>
    </row>
    <row r="87" customFormat="false" ht="15" hidden="false" customHeight="false" outlineLevel="0" collapsed="false">
      <c r="A87" s="2" t="s">
        <v>4</v>
      </c>
      <c r="B87" s="2" t="n">
        <v>18</v>
      </c>
      <c r="C87" s="3" t="n">
        <v>5477.06</v>
      </c>
    </row>
    <row r="88" customFormat="false" ht="15" hidden="false" customHeight="false" outlineLevel="0" collapsed="false">
      <c r="A88" s="2" t="s">
        <v>5</v>
      </c>
      <c r="B88" s="2" t="n">
        <v>18</v>
      </c>
      <c r="C88" s="3" t="n">
        <v>9539.99</v>
      </c>
    </row>
    <row r="89" customFormat="false" ht="15" hidden="false" customHeight="false" outlineLevel="0" collapsed="false">
      <c r="A89" s="2" t="s">
        <v>5</v>
      </c>
      <c r="B89" s="2" t="n">
        <v>18</v>
      </c>
      <c r="C89" s="3" t="n">
        <v>9718.15</v>
      </c>
    </row>
    <row r="90" customFormat="false" ht="15" hidden="false" customHeight="false" outlineLevel="0" collapsed="false">
      <c r="A90" s="2" t="s">
        <v>9</v>
      </c>
      <c r="B90" s="2" t="n">
        <v>18</v>
      </c>
      <c r="C90" s="3" t="n">
        <v>30081.86</v>
      </c>
    </row>
    <row r="91" customFormat="false" ht="15" hidden="false" customHeight="false" outlineLevel="0" collapsed="false">
      <c r="A91" s="2" t="s">
        <v>12</v>
      </c>
      <c r="B91" s="2" t="n">
        <v>18</v>
      </c>
      <c r="C91" s="3" t="n">
        <v>8380.44</v>
      </c>
    </row>
    <row r="92" customFormat="false" ht="15" hidden="false" customHeight="false" outlineLevel="0" collapsed="false">
      <c r="A92" s="2" t="s">
        <v>11</v>
      </c>
      <c r="B92" s="2" t="n">
        <v>18</v>
      </c>
      <c r="C92" s="3" t="n">
        <v>25319.09</v>
      </c>
    </row>
    <row r="93" customFormat="false" ht="15" hidden="false" customHeight="false" outlineLevel="0" collapsed="false">
      <c r="A93" s="2" t="s">
        <v>7</v>
      </c>
      <c r="B93" s="2" t="n">
        <v>18</v>
      </c>
      <c r="C93" s="3" t="n">
        <v>11306</v>
      </c>
    </row>
    <row r="94" customFormat="false" ht="15" hidden="false" customHeight="false" outlineLevel="0" collapsed="false">
      <c r="A94" s="2" t="s">
        <v>12</v>
      </c>
      <c r="B94" s="2" t="n">
        <v>18</v>
      </c>
      <c r="C94" s="3" t="n">
        <v>9518.21</v>
      </c>
    </row>
    <row r="95" customFormat="false" ht="15" hidden="false" customHeight="false" outlineLevel="0" collapsed="false">
      <c r="A95" s="2" t="s">
        <v>8</v>
      </c>
      <c r="B95" s="2" t="n">
        <v>19</v>
      </c>
      <c r="C95" s="3" t="n">
        <v>8542.59</v>
      </c>
    </row>
    <row r="96" customFormat="false" ht="15" hidden="false" customHeight="false" outlineLevel="0" collapsed="false">
      <c r="A96" s="2" t="s">
        <v>8</v>
      </c>
      <c r="B96" s="2" t="n">
        <v>19</v>
      </c>
      <c r="C96" s="3" t="n">
        <v>9311.71</v>
      </c>
    </row>
    <row r="97" customFormat="false" ht="15" hidden="false" customHeight="false" outlineLevel="0" collapsed="false">
      <c r="A97" s="2" t="s">
        <v>8</v>
      </c>
      <c r="B97" s="2" t="n">
        <v>19</v>
      </c>
      <c r="C97" s="3" t="n">
        <v>8049.7</v>
      </c>
    </row>
    <row r="98" customFormat="false" ht="15" hidden="false" customHeight="false" outlineLevel="0" collapsed="false">
      <c r="A98" s="2" t="s">
        <v>9</v>
      </c>
      <c r="B98" s="2" t="n">
        <v>19</v>
      </c>
      <c r="C98" s="3" t="n">
        <v>19796.66</v>
      </c>
    </row>
    <row r="99" customFormat="false" ht="15" hidden="false" customHeight="false" outlineLevel="0" collapsed="false">
      <c r="A99" s="2" t="s">
        <v>10</v>
      </c>
      <c r="B99" s="2" t="n">
        <v>19</v>
      </c>
      <c r="C99" s="3" t="n">
        <v>33152.81</v>
      </c>
    </row>
    <row r="100" customFormat="false" ht="15" hidden="false" customHeight="false" outlineLevel="0" collapsed="false">
      <c r="A100" s="2" t="s">
        <v>11</v>
      </c>
      <c r="B100" s="2" t="n">
        <v>19</v>
      </c>
      <c r="C100" s="3" t="n">
        <v>21184.83</v>
      </c>
    </row>
    <row r="101" customFormat="false" ht="15" hidden="false" customHeight="false" outlineLevel="0" collapsed="false">
      <c r="A101" s="2" t="s">
        <v>7</v>
      </c>
      <c r="B101" s="2" t="n">
        <v>19</v>
      </c>
      <c r="C101" s="3" t="n">
        <v>8213.21</v>
      </c>
    </row>
    <row r="102" customFormat="false" ht="15" hidden="false" customHeight="false" outlineLevel="0" collapsed="false">
      <c r="A102" s="2" t="s">
        <v>10</v>
      </c>
      <c r="B102" s="2" t="n">
        <v>19</v>
      </c>
      <c r="C102" s="3" t="n">
        <v>37027.03</v>
      </c>
    </row>
    <row r="103" customFormat="false" ht="15" hidden="false" customHeight="false" outlineLevel="0" collapsed="false">
      <c r="A103" s="2" t="s">
        <v>3</v>
      </c>
      <c r="B103" s="2" t="n">
        <v>19</v>
      </c>
      <c r="C103" s="3" t="n">
        <v>2328.94</v>
      </c>
    </row>
    <row r="104" customFormat="false" ht="15" hidden="false" customHeight="false" outlineLevel="0" collapsed="false">
      <c r="A104" s="2" t="s">
        <v>3</v>
      </c>
      <c r="B104" s="2" t="n">
        <v>19</v>
      </c>
      <c r="C104" s="3" t="n">
        <v>1522.7</v>
      </c>
    </row>
    <row r="105" customFormat="false" ht="15" hidden="false" customHeight="false" outlineLevel="0" collapsed="false">
      <c r="A105" s="2" t="s">
        <v>6</v>
      </c>
      <c r="B105" s="2" t="n">
        <v>19</v>
      </c>
      <c r="C105" s="3" t="n">
        <v>14424.08</v>
      </c>
    </row>
    <row r="106" customFormat="false" ht="15" hidden="false" customHeight="false" outlineLevel="0" collapsed="false">
      <c r="A106" s="2" t="s">
        <v>6</v>
      </c>
      <c r="B106" s="2" t="n">
        <v>19</v>
      </c>
      <c r="C106" s="3" t="n">
        <v>5950.7</v>
      </c>
    </row>
    <row r="107" customFormat="false" ht="15" hidden="false" customHeight="false" outlineLevel="0" collapsed="false">
      <c r="A107" s="2" t="s">
        <v>5</v>
      </c>
      <c r="B107" s="2" t="n">
        <v>19</v>
      </c>
      <c r="C107" s="3" t="n">
        <v>9743.47</v>
      </c>
    </row>
    <row r="108" customFormat="false" ht="15" hidden="false" customHeight="false" outlineLevel="0" collapsed="false">
      <c r="A108" s="2" t="s">
        <v>12</v>
      </c>
      <c r="B108" s="2" t="n">
        <v>19</v>
      </c>
      <c r="C108" s="3" t="n">
        <v>7640.99</v>
      </c>
    </row>
    <row r="109" customFormat="false" ht="15" hidden="false" customHeight="false" outlineLevel="0" collapsed="false">
      <c r="A109" s="2" t="s">
        <v>4</v>
      </c>
      <c r="B109" s="2" t="n">
        <v>19</v>
      </c>
      <c r="C109" s="3" t="n">
        <v>5232.26</v>
      </c>
    </row>
    <row r="110" customFormat="false" ht="15" hidden="false" customHeight="false" outlineLevel="0" collapsed="false">
      <c r="A110" s="2" t="s">
        <v>8</v>
      </c>
      <c r="B110" s="2" t="n">
        <v>20</v>
      </c>
      <c r="C110" s="3" t="n">
        <v>11881.34</v>
      </c>
    </row>
    <row r="111" customFormat="false" ht="15" hidden="false" customHeight="false" outlineLevel="0" collapsed="false">
      <c r="A111" s="2" t="s">
        <v>11</v>
      </c>
      <c r="B111" s="2" t="n">
        <v>19</v>
      </c>
      <c r="C111" s="3" t="n">
        <v>27425.13</v>
      </c>
    </row>
    <row r="112" customFormat="false" ht="15" hidden="false" customHeight="false" outlineLevel="0" collapsed="false">
      <c r="A112" s="2" t="s">
        <v>9</v>
      </c>
      <c r="B112" s="2" t="n">
        <v>19</v>
      </c>
      <c r="C112" s="3" t="n">
        <v>36874.27</v>
      </c>
    </row>
    <row r="113" customFormat="false" ht="15" hidden="false" customHeight="false" outlineLevel="0" collapsed="false">
      <c r="A113" s="2" t="s">
        <v>7</v>
      </c>
      <c r="B113" s="2" t="n">
        <v>19</v>
      </c>
      <c r="C113" s="3" t="n">
        <v>13886.49</v>
      </c>
    </row>
    <row r="114" customFormat="false" ht="15" hidden="false" customHeight="false" outlineLevel="0" collapsed="false">
      <c r="A114" s="2" t="s">
        <v>3</v>
      </c>
      <c r="B114" s="2" t="n">
        <v>19</v>
      </c>
      <c r="C114" s="3" t="n">
        <v>327.4</v>
      </c>
    </row>
    <row r="115" customFormat="false" ht="15" hidden="false" customHeight="false" outlineLevel="0" collapsed="false">
      <c r="A115" s="2" t="s">
        <v>4</v>
      </c>
      <c r="B115" s="2" t="n">
        <v>20</v>
      </c>
      <c r="C115" s="3" t="n">
        <v>6106.84</v>
      </c>
    </row>
    <row r="116" customFormat="false" ht="15" hidden="false" customHeight="false" outlineLevel="0" collapsed="false">
      <c r="A116" s="2" t="s">
        <v>6</v>
      </c>
      <c r="B116" s="2" t="n">
        <v>20</v>
      </c>
      <c r="C116" s="3" t="n">
        <v>6091.57</v>
      </c>
    </row>
    <row r="117" customFormat="false" ht="15" hidden="false" customHeight="false" outlineLevel="0" collapsed="false">
      <c r="A117" s="2" t="s">
        <v>10</v>
      </c>
      <c r="B117" s="2" t="n">
        <v>20</v>
      </c>
      <c r="C117" s="3" t="n">
        <v>43950.47</v>
      </c>
    </row>
    <row r="118" customFormat="false" ht="15" hidden="false" customHeight="false" outlineLevel="0" collapsed="false">
      <c r="A118" s="2" t="s">
        <v>5</v>
      </c>
      <c r="B118" s="2" t="n">
        <v>20</v>
      </c>
      <c r="C118" s="3" t="n">
        <v>11437.01</v>
      </c>
    </row>
    <row r="119" customFormat="false" ht="15" hidden="false" customHeight="false" outlineLevel="0" collapsed="false">
      <c r="A119" s="2" t="s">
        <v>6</v>
      </c>
      <c r="B119" s="2" t="n">
        <v>20</v>
      </c>
      <c r="C119" s="3" t="n">
        <v>6303.99</v>
      </c>
    </row>
    <row r="120" customFormat="false" ht="15" hidden="false" customHeight="false" outlineLevel="0" collapsed="false">
      <c r="A120" s="2" t="s">
        <v>7</v>
      </c>
      <c r="B120" s="2" t="n">
        <v>20</v>
      </c>
      <c r="C120" s="3" t="n">
        <v>11914.22</v>
      </c>
    </row>
    <row r="121" customFormat="false" ht="15" hidden="false" customHeight="false" outlineLevel="0" collapsed="false">
      <c r="A121" s="2" t="s">
        <v>10</v>
      </c>
      <c r="B121" s="2" t="n">
        <v>20</v>
      </c>
      <c r="C121" s="3" t="n">
        <v>34320.84</v>
      </c>
    </row>
    <row r="122" customFormat="false" ht="15" hidden="false" customHeight="false" outlineLevel="0" collapsed="false">
      <c r="A122" s="2" t="s">
        <v>11</v>
      </c>
      <c r="B122" s="2" t="n">
        <v>20</v>
      </c>
      <c r="C122" s="3" t="n">
        <v>37870.5</v>
      </c>
    </row>
    <row r="123" customFormat="false" ht="15" hidden="false" customHeight="false" outlineLevel="0" collapsed="false">
      <c r="A123" s="2" t="s">
        <v>9</v>
      </c>
      <c r="B123" s="2" t="n">
        <v>20</v>
      </c>
      <c r="C123" s="3" t="n">
        <v>39575.29</v>
      </c>
    </row>
    <row r="124" customFormat="false" ht="15" hidden="false" customHeight="false" outlineLevel="0" collapsed="false">
      <c r="A124" s="2" t="s">
        <v>4</v>
      </c>
      <c r="B124" s="2" t="n">
        <v>20</v>
      </c>
      <c r="C124" s="3" t="n">
        <v>6919.05</v>
      </c>
    </row>
    <row r="125" customFormat="false" ht="15" hidden="false" customHeight="false" outlineLevel="0" collapsed="false">
      <c r="A125" s="2" t="s">
        <v>6</v>
      </c>
      <c r="B125" s="2" t="n">
        <v>20</v>
      </c>
      <c r="C125" s="3" t="n">
        <v>14254.47</v>
      </c>
    </row>
    <row r="126" customFormat="false" ht="15" hidden="false" customHeight="false" outlineLevel="0" collapsed="false">
      <c r="A126" s="2" t="s">
        <v>3</v>
      </c>
      <c r="B126" s="2" t="n">
        <v>20</v>
      </c>
      <c r="C126" s="3" t="n">
        <v>1666.76</v>
      </c>
    </row>
    <row r="127" customFormat="false" ht="15" hidden="false" customHeight="false" outlineLevel="0" collapsed="false">
      <c r="A127" s="2" t="s">
        <v>3</v>
      </c>
      <c r="B127" s="2" t="n">
        <v>20</v>
      </c>
      <c r="C127" s="3" t="n">
        <v>551.6</v>
      </c>
    </row>
    <row r="128" customFormat="false" ht="15" hidden="false" customHeight="false" outlineLevel="0" collapsed="false">
      <c r="A128" s="2" t="s">
        <v>6</v>
      </c>
      <c r="B128" s="2" t="n">
        <v>20</v>
      </c>
      <c r="C128" s="3" t="n">
        <v>10639.28</v>
      </c>
    </row>
    <row r="129" customFormat="false" ht="15" hidden="false" customHeight="false" outlineLevel="0" collapsed="false">
      <c r="A129" s="2" t="s">
        <v>8</v>
      </c>
      <c r="B129" s="2" t="n">
        <v>20</v>
      </c>
      <c r="C129" s="3" t="n">
        <v>10081.5</v>
      </c>
    </row>
    <row r="130" customFormat="false" ht="15" hidden="false" customHeight="false" outlineLevel="0" collapsed="false">
      <c r="A130" s="2" t="s">
        <v>9</v>
      </c>
      <c r="B130" s="2" t="n">
        <v>20</v>
      </c>
      <c r="C130" s="3" t="n">
        <v>4667.4</v>
      </c>
    </row>
    <row r="131" customFormat="false" ht="15" hidden="false" customHeight="false" outlineLevel="0" collapsed="false">
      <c r="A131" s="2" t="s">
        <v>8</v>
      </c>
      <c r="B131" s="2" t="n">
        <v>20</v>
      </c>
      <c r="C131" s="3" t="n">
        <v>11084.06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13</v>
      </c>
      <c r="C1" s="1" t="s">
        <v>14</v>
      </c>
      <c r="D1" s="1" t="s">
        <v>15</v>
      </c>
    </row>
    <row r="2" customFormat="false" ht="15" hidden="false" customHeight="false" outlineLevel="0" collapsed="false">
      <c r="A2" s="2" t="s">
        <v>3</v>
      </c>
      <c r="B2" s="2" t="n">
        <f aca="false">COUNTIF('Attacks Log'!A2:A131,A2)</f>
        <v>14</v>
      </c>
      <c r="C2" s="3" t="n">
        <f aca="false">SUMIF('Attacks Log'!A2:A131,A2,'Attacks Log'!C2:C131)</f>
        <v>9634.26</v>
      </c>
      <c r="D2" s="3" t="n">
        <f aca="false">C2/B2</f>
        <v>688.161428571429</v>
      </c>
    </row>
    <row r="3" customFormat="false" ht="15" hidden="false" customHeight="false" outlineLevel="0" collapsed="false">
      <c r="A3" s="2" t="s">
        <v>4</v>
      </c>
      <c r="B3" s="2" t="n">
        <f aca="false">COUNTIF('Attacks Log'!A2:A131,A3)</f>
        <v>13</v>
      </c>
      <c r="C3" s="3" t="n">
        <f aca="false">SUMIF('Attacks Log'!A2:A131,A3,'Attacks Log'!C2:C131)</f>
        <v>77364.62</v>
      </c>
      <c r="D3" s="3" t="n">
        <f aca="false">C3/B3</f>
        <v>5951.12461538462</v>
      </c>
    </row>
    <row r="4" customFormat="false" ht="15" hidden="false" customHeight="false" outlineLevel="0" collapsed="false">
      <c r="A4" s="2" t="s">
        <v>5</v>
      </c>
      <c r="B4" s="2" t="n">
        <f aca="false">COUNTIF('Attacks Log'!A2:A131,A4)</f>
        <v>11</v>
      </c>
      <c r="C4" s="3" t="n">
        <f aca="false">SUMIF('Attacks Log'!A2:A131,A4,'Attacks Log'!C2:C131)</f>
        <v>104301.78</v>
      </c>
      <c r="D4" s="3" t="n">
        <f aca="false">C4/B4</f>
        <v>9481.98</v>
      </c>
    </row>
    <row r="5" customFormat="false" ht="15" hidden="false" customHeight="false" outlineLevel="0" collapsed="false">
      <c r="A5" s="2" t="s">
        <v>6</v>
      </c>
      <c r="B5" s="2" t="n">
        <f aca="false">COUNTIF('Attacks Log'!A2:A131,A5)</f>
        <v>14</v>
      </c>
      <c r="C5" s="3" t="n">
        <f aca="false">SUMIF('Attacks Log'!A2:A131,A5,'Attacks Log'!C2:C131)</f>
        <v>114146.31</v>
      </c>
      <c r="D5" s="3" t="n">
        <f aca="false">C5/B5</f>
        <v>8153.30785714286</v>
      </c>
    </row>
    <row r="6" customFormat="false" ht="15" hidden="false" customHeight="false" outlineLevel="0" collapsed="false">
      <c r="A6" s="2" t="s">
        <v>7</v>
      </c>
      <c r="B6" s="2" t="n">
        <f aca="false">COUNTIF('Attacks Log'!A2:A131,A6)</f>
        <v>13</v>
      </c>
      <c r="C6" s="3" t="n">
        <f aca="false">SUMIF('Attacks Log'!A2:A131,A6,'Attacks Log'!C2:C131)</f>
        <v>132021.74</v>
      </c>
      <c r="D6" s="3" t="n">
        <f aca="false">C6/B6</f>
        <v>10155.5184615385</v>
      </c>
    </row>
    <row r="7" customFormat="false" ht="15" hidden="false" customHeight="false" outlineLevel="0" collapsed="false">
      <c r="A7" s="2" t="s">
        <v>8</v>
      </c>
      <c r="B7" s="2" t="n">
        <f aca="false">COUNTIF('Attacks Log'!A2:A131,A7)</f>
        <v>14</v>
      </c>
      <c r="C7" s="3" t="n">
        <f aca="false">SUMIF('Attacks Log'!A2:A131,A7,'Attacks Log'!C2:C131)</f>
        <v>149013.56</v>
      </c>
      <c r="D7" s="3" t="n">
        <f aca="false">C7/B7</f>
        <v>10643.8257142857</v>
      </c>
    </row>
    <row r="8" customFormat="false" ht="15" hidden="false" customHeight="false" outlineLevel="0" collapsed="false">
      <c r="A8" s="2" t="s">
        <v>9</v>
      </c>
      <c r="B8" s="2" t="n">
        <f aca="false">COUNTIF('Attacks Log'!A2:A131,A8)</f>
        <v>14</v>
      </c>
      <c r="C8" s="3" t="n">
        <f aca="false">SUMIF('Attacks Log'!A2:A131,A8,'Attacks Log'!C2:C131)</f>
        <v>260843.37</v>
      </c>
      <c r="D8" s="3" t="n">
        <f aca="false">C8/B8</f>
        <v>18631.6692857143</v>
      </c>
    </row>
    <row r="9" customFormat="false" ht="15" hidden="false" customHeight="false" outlineLevel="0" collapsed="false">
      <c r="A9" s="2" t="s">
        <v>10</v>
      </c>
      <c r="B9" s="2" t="n">
        <f aca="false">COUNTIF('Attacks Log'!A2:A131,A9)</f>
        <v>13</v>
      </c>
      <c r="C9" s="3" t="n">
        <f aca="false">SUMIF('Attacks Log'!A2:A131,A9,'Attacks Log'!C2:C131)</f>
        <v>444938.88</v>
      </c>
      <c r="D9" s="3" t="n">
        <f aca="false">C9/B9</f>
        <v>34226.0676923077</v>
      </c>
    </row>
    <row r="10" customFormat="false" ht="15" hidden="false" customHeight="false" outlineLevel="0" collapsed="false">
      <c r="A10" s="2" t="s">
        <v>11</v>
      </c>
      <c r="B10" s="2" t="n">
        <f aca="false">COUNTIF('Attacks Log'!A2:A131,A10)</f>
        <v>13</v>
      </c>
      <c r="C10" s="3" t="n">
        <f aca="false">SUMIF('Attacks Log'!A2:A131,A10,'Attacks Log'!C2:C131)</f>
        <v>460239.49</v>
      </c>
      <c r="D10" s="3" t="n">
        <f aca="false">C10/B10</f>
        <v>35403.0376923077</v>
      </c>
    </row>
    <row r="11" customFormat="false" ht="15" hidden="false" customHeight="false" outlineLevel="0" collapsed="false">
      <c r="A11" s="2" t="s">
        <v>12</v>
      </c>
      <c r="B11" s="2" t="n">
        <f aca="false">COUNTIF('Attacks Log'!A2:A131,A11)</f>
        <v>11</v>
      </c>
      <c r="C11" s="3" t="n">
        <f aca="false">SUMIF('Attacks Log'!A2:A131,A11,'Attacks Log'!C2:C131)</f>
        <v>83231.72</v>
      </c>
      <c r="D11" s="3" t="n">
        <f aca="false">C11/B11</f>
        <v>7566.52</v>
      </c>
    </row>
    <row r="12" customFormat="false" ht="15" hidden="false" customHeight="false" outlineLevel="0" collapsed="false">
      <c r="A12" s="4" t="s">
        <v>16</v>
      </c>
      <c r="B12" s="4" t="n">
        <f aca="false">SUM(B2:B11)</f>
        <v>130</v>
      </c>
      <c r="C12" s="5" t="n">
        <f aca="false">SUM(C2:C11)</f>
        <v>1835735.73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4"/>
  </cols>
  <sheetData>
    <row r="1" customFormat="false" ht="15" hidden="false" customHeight="false" outlineLevel="0" collapsed="false">
      <c r="A1" s="6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customFormat="false" ht="15" hidden="false" customHeight="false" outlineLevel="0" collapsed="false">
      <c r="A2" s="4" t="s">
        <v>3</v>
      </c>
      <c r="B2" s="7" t="str">
        <f aca="false">IF(COUNTIFS('Attacks Log'!$A$2:$A$131,$A2,'Attacks Log'!$B$2:$B$131,1)=0,"",COUNTIFS('Attacks Log'!$A$2:$A$131,$A2,'Attacks Log'!$B$2:$B$131,1)&amp;"x / "&amp;TEXT(SUMIFS('Attacks Log'!$C$2:$C$131,'Attacks Log'!$A$2:$A$131,$A2,'Attacks Log'!$B$2:$B$131,1),"#,##0")&amp;"M")</f>
        <v>1x / 1,122M</v>
      </c>
      <c r="C2" s="7" t="str">
        <f aca="false">IF(COUNTIFS('Attacks Log'!$A$2:$A$131,$A2,'Attacks Log'!$B$2:$B$131,2)=0,"",COUNTIFS('Attacks Log'!$A$2:$A$131,$A2,'Attacks Log'!$B$2:$B$131,2)&amp;"x / "&amp;TEXT(SUMIFS('Attacks Log'!$C$2:$C$131,'Attacks Log'!$A$2:$A$131,$A2,'Attacks Log'!$B$2:$B$131,2),"#,##0")&amp;"M")</f>
        <v>1x / 349M</v>
      </c>
      <c r="D2" s="7" t="str">
        <f aca="false">IF(COUNTIFS('Attacks Log'!$A$2:$A$131,$A2,'Attacks Log'!$B$2:$B$131,3)=0,"",COUNTIFS('Attacks Log'!$A$2:$A$131,$A2,'Attacks Log'!$B$2:$B$131,3)&amp;"x / "&amp;TEXT(SUMIFS('Attacks Log'!$C$2:$C$131,'Attacks Log'!$A$2:$A$131,$A2,'Attacks Log'!$B$2:$B$131,3),"#,##0")&amp;"M")</f>
        <v>2x / 892M</v>
      </c>
      <c r="E2" s="7" t="str">
        <f aca="false">IF(COUNTIFS('Attacks Log'!$A$2:$A$131,$A2,'Attacks Log'!$B$2:$B$131,4)=0,"",COUNTIFS('Attacks Log'!$A$2:$A$131,$A2,'Attacks Log'!$B$2:$B$131,4)&amp;"x / "&amp;TEXT(SUMIFS('Attacks Log'!$C$2:$C$131,'Attacks Log'!$A$2:$A$131,$A2,'Attacks Log'!$B$2:$B$131,4),"#,##0")&amp;"M")</f>
        <v>1x / 226M</v>
      </c>
      <c r="F2" s="7" t="str">
        <f aca="false">IF(COUNTIFS('Attacks Log'!$A$2:$A$131,$A2,'Attacks Log'!$B$2:$B$131,5)=0,"",COUNTIFS('Attacks Log'!$A$2:$A$131,$A2,'Attacks Log'!$B$2:$B$131,5)&amp;"x / "&amp;TEXT(SUMIFS('Attacks Log'!$C$2:$C$131,'Attacks Log'!$A$2:$A$131,$A2,'Attacks Log'!$B$2:$B$131,5),"#,##0")&amp;"M")</f>
        <v/>
      </c>
      <c r="G2" s="7" t="str">
        <f aca="false">IF(COUNTIFS('Attacks Log'!$A$2:$A$131,$A2,'Attacks Log'!$B$2:$B$131,6)=0,"",COUNTIFS('Attacks Log'!$A$2:$A$131,$A2,'Attacks Log'!$B$2:$B$131,6)&amp;"x / "&amp;TEXT(SUMIFS('Attacks Log'!$C$2:$C$131,'Attacks Log'!$A$2:$A$131,$A2,'Attacks Log'!$B$2:$B$131,6),"#,##0")&amp;"M")</f>
        <v/>
      </c>
      <c r="H2" s="7" t="str">
        <f aca="false">IF(COUNTIFS('Attacks Log'!$A$2:$A$131,$A2,'Attacks Log'!$B$2:$B$131,7)=0,"",COUNTIFS('Attacks Log'!$A$2:$A$131,$A2,'Attacks Log'!$B$2:$B$131,7)&amp;"x / "&amp;TEXT(SUMIFS('Attacks Log'!$C$2:$C$131,'Attacks Log'!$A$2:$A$131,$A2,'Attacks Log'!$B$2:$B$131,7),"#,##0")&amp;"M")</f>
        <v/>
      </c>
      <c r="I2" s="7" t="str">
        <f aca="false">IF(COUNTIFS('Attacks Log'!$A$2:$A$131,$A2,'Attacks Log'!$B$2:$B$131,8)=0,"",COUNTIFS('Attacks Log'!$A$2:$A$131,$A2,'Attacks Log'!$B$2:$B$131,8)&amp;"x / "&amp;TEXT(SUMIFS('Attacks Log'!$C$2:$C$131,'Attacks Log'!$A$2:$A$131,$A2,'Attacks Log'!$B$2:$B$131,8),"#,##0")&amp;"M")</f>
        <v/>
      </c>
      <c r="J2" s="7" t="str">
        <f aca="false">IF(COUNTIFS('Attacks Log'!$A$2:$A$131,$A2,'Attacks Log'!$B$2:$B$131,9)=0,"",COUNTIFS('Attacks Log'!$A$2:$A$131,$A2,'Attacks Log'!$B$2:$B$131,9)&amp;"x / "&amp;TEXT(SUMIFS('Attacks Log'!$C$2:$C$131,'Attacks Log'!$A$2:$A$131,$A2,'Attacks Log'!$B$2:$B$131,9),"#,##0")&amp;"M")</f>
        <v/>
      </c>
      <c r="K2" s="7" t="str">
        <f aca="false">IF(COUNTIFS('Attacks Log'!$A$2:$A$131,$A2,'Attacks Log'!$B$2:$B$131,10)=0,"",COUNTIFS('Attacks Log'!$A$2:$A$131,$A2,'Attacks Log'!$B$2:$B$131,10)&amp;"x / "&amp;TEXT(SUMIFS('Attacks Log'!$C$2:$C$131,'Attacks Log'!$A$2:$A$131,$A2,'Attacks Log'!$B$2:$B$131,10),"#,##0")&amp;"M")</f>
        <v/>
      </c>
      <c r="L2" s="7" t="str">
        <f aca="false">IF(COUNTIFS('Attacks Log'!$A$2:$A$131,$A2,'Attacks Log'!$B$2:$B$131,11)=0,"",COUNTIFS('Attacks Log'!$A$2:$A$131,$A2,'Attacks Log'!$B$2:$B$131,11)&amp;"x / "&amp;TEXT(SUMIFS('Attacks Log'!$C$2:$C$131,'Attacks Log'!$A$2:$A$131,$A2,'Attacks Log'!$B$2:$B$131,11),"#,##0")&amp;"M")</f>
        <v/>
      </c>
      <c r="M2" s="7" t="str">
        <f aca="false">IF(COUNTIFS('Attacks Log'!$A$2:$A$131,$A2,'Attacks Log'!$B$2:$B$131,12)=0,"",COUNTIFS('Attacks Log'!$A$2:$A$131,$A2,'Attacks Log'!$B$2:$B$131,12)&amp;"x / "&amp;TEXT(SUMIFS('Attacks Log'!$C$2:$C$131,'Attacks Log'!$A$2:$A$131,$A2,'Attacks Log'!$B$2:$B$131,12),"#,##0")&amp;"M")</f>
        <v/>
      </c>
      <c r="N2" s="7" t="str">
        <f aca="false">IF(COUNTIFS('Attacks Log'!$A$2:$A$131,$A2,'Attacks Log'!$B$2:$B$131,13)=0,"",COUNTIFS('Attacks Log'!$A$2:$A$131,$A2,'Attacks Log'!$B$2:$B$131,13)&amp;"x / "&amp;TEXT(SUMIFS('Attacks Log'!$C$2:$C$131,'Attacks Log'!$A$2:$A$131,$A2,'Attacks Log'!$B$2:$B$131,13),"#,##0")&amp;"M")</f>
        <v/>
      </c>
      <c r="O2" s="7" t="str">
        <f aca="false">IF(COUNTIFS('Attacks Log'!$A$2:$A$131,$A2,'Attacks Log'!$B$2:$B$131,14)=0,"",COUNTIFS('Attacks Log'!$A$2:$A$131,$A2,'Attacks Log'!$B$2:$B$131,14)&amp;"x / "&amp;TEXT(SUMIFS('Attacks Log'!$C$2:$C$131,'Attacks Log'!$A$2:$A$131,$A2,'Attacks Log'!$B$2:$B$131,14),"#,##0")&amp;"M")</f>
        <v/>
      </c>
      <c r="P2" s="7" t="str">
        <f aca="false">IF(COUNTIFS('Attacks Log'!$A$2:$A$131,$A2,'Attacks Log'!$B$2:$B$131,15)=0,"",COUNTIFS('Attacks Log'!$A$2:$A$131,$A2,'Attacks Log'!$B$2:$B$131,15)&amp;"x / "&amp;TEXT(SUMIFS('Attacks Log'!$C$2:$C$131,'Attacks Log'!$A$2:$A$131,$A2,'Attacks Log'!$B$2:$B$131,15),"#,##0")&amp;"M")</f>
        <v>1x / 128M</v>
      </c>
      <c r="Q2" s="7" t="str">
        <f aca="false">IF(COUNTIFS('Attacks Log'!$A$2:$A$131,$A2,'Attacks Log'!$B$2:$B$131,16)=0,"",COUNTIFS('Attacks Log'!$A$2:$A$131,$A2,'Attacks Log'!$B$2:$B$131,16)&amp;"x / "&amp;TEXT(SUMIFS('Attacks Log'!$C$2:$C$131,'Attacks Log'!$A$2:$A$131,$A2,'Attacks Log'!$B$2:$B$131,16),"#,##0")&amp;"M")</f>
        <v>1x / 144M</v>
      </c>
      <c r="R2" s="7" t="str">
        <f aca="false">IF(COUNTIFS('Attacks Log'!$A$2:$A$131,$A2,'Attacks Log'!$B$2:$B$131,17)=0,"",COUNTIFS('Attacks Log'!$A$2:$A$131,$A2,'Attacks Log'!$B$2:$B$131,17)&amp;"x / "&amp;TEXT(SUMIFS('Attacks Log'!$C$2:$C$131,'Attacks Log'!$A$2:$A$131,$A2,'Attacks Log'!$B$2:$B$131,17),"#,##0")&amp;"M")</f>
        <v>1x / 302M</v>
      </c>
      <c r="S2" s="7" t="str">
        <f aca="false">IF(COUNTIFS('Attacks Log'!$A$2:$A$131,$A2,'Attacks Log'!$B$2:$B$131,18)=0,"",COUNTIFS('Attacks Log'!$A$2:$A$131,$A2,'Attacks Log'!$B$2:$B$131,18)&amp;"x / "&amp;TEXT(SUMIFS('Attacks Log'!$C$2:$C$131,'Attacks Log'!$A$2:$A$131,$A2,'Attacks Log'!$B$2:$B$131,18),"#,##0")&amp;"M")</f>
        <v>1x / 73M</v>
      </c>
      <c r="T2" s="7" t="str">
        <f aca="false">IF(COUNTIFS('Attacks Log'!$A$2:$A$131,$A2,'Attacks Log'!$B$2:$B$131,19)=0,"",COUNTIFS('Attacks Log'!$A$2:$A$131,$A2,'Attacks Log'!$B$2:$B$131,19)&amp;"x / "&amp;TEXT(SUMIFS('Attacks Log'!$C$2:$C$131,'Attacks Log'!$A$2:$A$131,$A2,'Attacks Log'!$B$2:$B$131,19),"#,##0")&amp;"M")</f>
        <v>3x / 4,179M</v>
      </c>
      <c r="U2" s="7" t="str">
        <f aca="false">IF(COUNTIFS('Attacks Log'!$A$2:$A$131,$A2,'Attacks Log'!$B$2:$B$131,20)=0,"",COUNTIFS('Attacks Log'!$A$2:$A$131,$A2,'Attacks Log'!$B$2:$B$131,20)&amp;"x / "&amp;TEXT(SUMIFS('Attacks Log'!$C$2:$C$131,'Attacks Log'!$A$2:$A$131,$A2,'Attacks Log'!$B$2:$B$131,20),"#,##0")&amp;"M")</f>
        <v>2x / 2,218M</v>
      </c>
    </row>
    <row r="3" customFormat="false" ht="15" hidden="false" customHeight="false" outlineLevel="0" collapsed="false">
      <c r="A3" s="4" t="s">
        <v>4</v>
      </c>
      <c r="B3" s="7" t="str">
        <f aca="false">IF(COUNTIFS('Attacks Log'!$A$2:$A$131,$A3,'Attacks Log'!$B$2:$B$131,1)=0,"",COUNTIFS('Attacks Log'!$A$2:$A$131,$A3,'Attacks Log'!$B$2:$B$131,1)&amp;"x / "&amp;TEXT(SUMIFS('Attacks Log'!$C$2:$C$131,'Attacks Log'!$A$2:$A$131,$A3,'Attacks Log'!$B$2:$B$131,1),"#,##0")&amp;"M")</f>
        <v>1x / 4,643M</v>
      </c>
      <c r="C3" s="7" t="str">
        <f aca="false">IF(COUNTIFS('Attacks Log'!$A$2:$A$131,$A3,'Attacks Log'!$B$2:$B$131,2)=0,"",COUNTIFS('Attacks Log'!$A$2:$A$131,$A3,'Attacks Log'!$B$2:$B$131,2)&amp;"x / "&amp;TEXT(SUMIFS('Attacks Log'!$C$2:$C$131,'Attacks Log'!$A$2:$A$131,$A3,'Attacks Log'!$B$2:$B$131,2),"#,##0")&amp;"M")</f>
        <v>1x / 7,072M</v>
      </c>
      <c r="D3" s="7" t="str">
        <f aca="false">IF(COUNTIFS('Attacks Log'!$A$2:$A$131,$A3,'Attacks Log'!$B$2:$B$131,3)=0,"",COUNTIFS('Attacks Log'!$A$2:$A$131,$A3,'Attacks Log'!$B$2:$B$131,3)&amp;"x / "&amp;TEXT(SUMIFS('Attacks Log'!$C$2:$C$131,'Attacks Log'!$A$2:$A$131,$A3,'Attacks Log'!$B$2:$B$131,3),"#,##0")&amp;"M")</f>
        <v>1x / 8,979M</v>
      </c>
      <c r="E3" s="7" t="str">
        <f aca="false">IF(COUNTIFS('Attacks Log'!$A$2:$A$131,$A3,'Attacks Log'!$B$2:$B$131,4)=0,"",COUNTIFS('Attacks Log'!$A$2:$A$131,$A3,'Attacks Log'!$B$2:$B$131,4)&amp;"x / "&amp;TEXT(SUMIFS('Attacks Log'!$C$2:$C$131,'Attacks Log'!$A$2:$A$131,$A3,'Attacks Log'!$B$2:$B$131,4),"#,##0")&amp;"M")</f>
        <v>2x / 11,877M</v>
      </c>
      <c r="F3" s="7" t="str">
        <f aca="false">IF(COUNTIFS('Attacks Log'!$A$2:$A$131,$A3,'Attacks Log'!$B$2:$B$131,5)=0,"",COUNTIFS('Attacks Log'!$A$2:$A$131,$A3,'Attacks Log'!$B$2:$B$131,5)&amp;"x / "&amp;TEXT(SUMIFS('Attacks Log'!$C$2:$C$131,'Attacks Log'!$A$2:$A$131,$A3,'Attacks Log'!$B$2:$B$131,5),"#,##0")&amp;"M")</f>
        <v/>
      </c>
      <c r="G3" s="7" t="str">
        <f aca="false">IF(COUNTIFS('Attacks Log'!$A$2:$A$131,$A3,'Attacks Log'!$B$2:$B$131,6)=0,"",COUNTIFS('Attacks Log'!$A$2:$A$131,$A3,'Attacks Log'!$B$2:$B$131,6)&amp;"x / "&amp;TEXT(SUMIFS('Attacks Log'!$C$2:$C$131,'Attacks Log'!$A$2:$A$131,$A3,'Attacks Log'!$B$2:$B$131,6),"#,##0")&amp;"M")</f>
        <v/>
      </c>
      <c r="H3" s="7" t="str">
        <f aca="false">IF(COUNTIFS('Attacks Log'!$A$2:$A$131,$A3,'Attacks Log'!$B$2:$B$131,7)=0,"",COUNTIFS('Attacks Log'!$A$2:$A$131,$A3,'Attacks Log'!$B$2:$B$131,7)&amp;"x / "&amp;TEXT(SUMIFS('Attacks Log'!$C$2:$C$131,'Attacks Log'!$A$2:$A$131,$A3,'Attacks Log'!$B$2:$B$131,7),"#,##0")&amp;"M")</f>
        <v/>
      </c>
      <c r="I3" s="7" t="str">
        <f aca="false">IF(COUNTIFS('Attacks Log'!$A$2:$A$131,$A3,'Attacks Log'!$B$2:$B$131,8)=0,"",COUNTIFS('Attacks Log'!$A$2:$A$131,$A3,'Attacks Log'!$B$2:$B$131,8)&amp;"x / "&amp;TEXT(SUMIFS('Attacks Log'!$C$2:$C$131,'Attacks Log'!$A$2:$A$131,$A3,'Attacks Log'!$B$2:$B$131,8),"#,##0")&amp;"M")</f>
        <v/>
      </c>
      <c r="J3" s="7" t="str">
        <f aca="false">IF(COUNTIFS('Attacks Log'!$A$2:$A$131,$A3,'Attacks Log'!$B$2:$B$131,9)=0,"",COUNTIFS('Attacks Log'!$A$2:$A$131,$A3,'Attacks Log'!$B$2:$B$131,9)&amp;"x / "&amp;TEXT(SUMIFS('Attacks Log'!$C$2:$C$131,'Attacks Log'!$A$2:$A$131,$A3,'Attacks Log'!$B$2:$B$131,9),"#,##0")&amp;"M")</f>
        <v/>
      </c>
      <c r="K3" s="7" t="str">
        <f aca="false">IF(COUNTIFS('Attacks Log'!$A$2:$A$131,$A3,'Attacks Log'!$B$2:$B$131,10)=0,"",COUNTIFS('Attacks Log'!$A$2:$A$131,$A3,'Attacks Log'!$B$2:$B$131,10)&amp;"x / "&amp;TEXT(SUMIFS('Attacks Log'!$C$2:$C$131,'Attacks Log'!$A$2:$A$131,$A3,'Attacks Log'!$B$2:$B$131,10),"#,##0")&amp;"M")</f>
        <v/>
      </c>
      <c r="L3" s="7" t="str">
        <f aca="false">IF(COUNTIFS('Attacks Log'!$A$2:$A$131,$A3,'Attacks Log'!$B$2:$B$131,11)=0,"",COUNTIFS('Attacks Log'!$A$2:$A$131,$A3,'Attacks Log'!$B$2:$B$131,11)&amp;"x / "&amp;TEXT(SUMIFS('Attacks Log'!$C$2:$C$131,'Attacks Log'!$A$2:$A$131,$A3,'Attacks Log'!$B$2:$B$131,11),"#,##0")&amp;"M")</f>
        <v/>
      </c>
      <c r="M3" s="7" t="str">
        <f aca="false">IF(COUNTIFS('Attacks Log'!$A$2:$A$131,$A3,'Attacks Log'!$B$2:$B$131,12)=0,"",COUNTIFS('Attacks Log'!$A$2:$A$131,$A3,'Attacks Log'!$B$2:$B$131,12)&amp;"x / "&amp;TEXT(SUMIFS('Attacks Log'!$C$2:$C$131,'Attacks Log'!$A$2:$A$131,$A3,'Attacks Log'!$B$2:$B$131,12),"#,##0")&amp;"M")</f>
        <v/>
      </c>
      <c r="N3" s="7" t="str">
        <f aca="false">IF(COUNTIFS('Attacks Log'!$A$2:$A$131,$A3,'Attacks Log'!$B$2:$B$131,13)=0,"",COUNTIFS('Attacks Log'!$A$2:$A$131,$A3,'Attacks Log'!$B$2:$B$131,13)&amp;"x / "&amp;TEXT(SUMIFS('Attacks Log'!$C$2:$C$131,'Attacks Log'!$A$2:$A$131,$A3,'Attacks Log'!$B$2:$B$131,13),"#,##0")&amp;"M")</f>
        <v/>
      </c>
      <c r="O3" s="7" t="str">
        <f aca="false">IF(COUNTIFS('Attacks Log'!$A$2:$A$131,$A3,'Attacks Log'!$B$2:$B$131,14)=0,"",COUNTIFS('Attacks Log'!$A$2:$A$131,$A3,'Attacks Log'!$B$2:$B$131,14)&amp;"x / "&amp;TEXT(SUMIFS('Attacks Log'!$C$2:$C$131,'Attacks Log'!$A$2:$A$131,$A3,'Attacks Log'!$B$2:$B$131,14),"#,##0")&amp;"M")</f>
        <v>1x / 5,811M</v>
      </c>
      <c r="P3" s="7" t="str">
        <f aca="false">IF(COUNTIFS('Attacks Log'!$A$2:$A$131,$A3,'Attacks Log'!$B$2:$B$131,15)=0,"",COUNTIFS('Attacks Log'!$A$2:$A$131,$A3,'Attacks Log'!$B$2:$B$131,15)&amp;"x / "&amp;TEXT(SUMIFS('Attacks Log'!$C$2:$C$131,'Attacks Log'!$A$2:$A$131,$A3,'Attacks Log'!$B$2:$B$131,15),"#,##0")&amp;"M")</f>
        <v/>
      </c>
      <c r="Q3" s="7" t="str">
        <f aca="false">IF(COUNTIFS('Attacks Log'!$A$2:$A$131,$A3,'Attacks Log'!$B$2:$B$131,16)=0,"",COUNTIFS('Attacks Log'!$A$2:$A$131,$A3,'Attacks Log'!$B$2:$B$131,16)&amp;"x / "&amp;TEXT(SUMIFS('Attacks Log'!$C$2:$C$131,'Attacks Log'!$A$2:$A$131,$A3,'Attacks Log'!$B$2:$B$131,16),"#,##0")&amp;"M")</f>
        <v>1x / 4,434M</v>
      </c>
      <c r="R3" s="7" t="str">
        <f aca="false">IF(COUNTIFS('Attacks Log'!$A$2:$A$131,$A3,'Attacks Log'!$B$2:$B$131,17)=0,"",COUNTIFS('Attacks Log'!$A$2:$A$131,$A3,'Attacks Log'!$B$2:$B$131,17)&amp;"x / "&amp;TEXT(SUMIFS('Attacks Log'!$C$2:$C$131,'Attacks Log'!$A$2:$A$131,$A3,'Attacks Log'!$B$2:$B$131,17),"#,##0")&amp;"M")</f>
        <v>1x / 5,879M</v>
      </c>
      <c r="S3" s="7" t="str">
        <f aca="false">IF(COUNTIFS('Attacks Log'!$A$2:$A$131,$A3,'Attacks Log'!$B$2:$B$131,18)=0,"",COUNTIFS('Attacks Log'!$A$2:$A$131,$A3,'Attacks Log'!$B$2:$B$131,18)&amp;"x / "&amp;TEXT(SUMIFS('Attacks Log'!$C$2:$C$131,'Attacks Log'!$A$2:$A$131,$A3,'Attacks Log'!$B$2:$B$131,18),"#,##0")&amp;"M")</f>
        <v>2x / 10,412M</v>
      </c>
      <c r="T3" s="7" t="str">
        <f aca="false">IF(COUNTIFS('Attacks Log'!$A$2:$A$131,$A3,'Attacks Log'!$B$2:$B$131,19)=0,"",COUNTIFS('Attacks Log'!$A$2:$A$131,$A3,'Attacks Log'!$B$2:$B$131,19)&amp;"x / "&amp;TEXT(SUMIFS('Attacks Log'!$C$2:$C$131,'Attacks Log'!$A$2:$A$131,$A3,'Attacks Log'!$B$2:$B$131,19),"#,##0")&amp;"M")</f>
        <v>1x / 5,232M</v>
      </c>
      <c r="U3" s="7" t="str">
        <f aca="false">IF(COUNTIFS('Attacks Log'!$A$2:$A$131,$A3,'Attacks Log'!$B$2:$B$131,20)=0,"",COUNTIFS('Attacks Log'!$A$2:$A$131,$A3,'Attacks Log'!$B$2:$B$131,20)&amp;"x / "&amp;TEXT(SUMIFS('Attacks Log'!$C$2:$C$131,'Attacks Log'!$A$2:$A$131,$A3,'Attacks Log'!$B$2:$B$131,20),"#,##0")&amp;"M")</f>
        <v>2x / 13,026M</v>
      </c>
    </row>
    <row r="4" customFormat="false" ht="15" hidden="false" customHeight="false" outlineLevel="0" collapsed="false">
      <c r="A4" s="4" t="s">
        <v>5</v>
      </c>
      <c r="B4" s="7" t="str">
        <f aca="false">IF(COUNTIFS('Attacks Log'!$A$2:$A$131,$A4,'Attacks Log'!$B$2:$B$131,1)=0,"",COUNTIFS('Attacks Log'!$A$2:$A$131,$A4,'Attacks Log'!$B$2:$B$131,1)&amp;"x / "&amp;TEXT(SUMIFS('Attacks Log'!$C$2:$C$131,'Attacks Log'!$A$2:$A$131,$A4,'Attacks Log'!$B$2:$B$131,1),"#,##0")&amp;"M")</f>
        <v/>
      </c>
      <c r="C4" s="7" t="str">
        <f aca="false">IF(COUNTIFS('Attacks Log'!$A$2:$A$131,$A4,'Attacks Log'!$B$2:$B$131,2)=0,"",COUNTIFS('Attacks Log'!$A$2:$A$131,$A4,'Attacks Log'!$B$2:$B$131,2)&amp;"x / "&amp;TEXT(SUMIFS('Attacks Log'!$C$2:$C$131,'Attacks Log'!$A$2:$A$131,$A4,'Attacks Log'!$B$2:$B$131,2),"#,##0")&amp;"M")</f>
        <v/>
      </c>
      <c r="D4" s="7" t="str">
        <f aca="false">IF(COUNTIFS('Attacks Log'!$A$2:$A$131,$A4,'Attacks Log'!$B$2:$B$131,3)=0,"",COUNTIFS('Attacks Log'!$A$2:$A$131,$A4,'Attacks Log'!$B$2:$B$131,3)&amp;"x / "&amp;TEXT(SUMIFS('Attacks Log'!$C$2:$C$131,'Attacks Log'!$A$2:$A$131,$A4,'Attacks Log'!$B$2:$B$131,3),"#,##0")&amp;"M")</f>
        <v>1x / 7,827M</v>
      </c>
      <c r="E4" s="7" t="str">
        <f aca="false">IF(COUNTIFS('Attacks Log'!$A$2:$A$131,$A4,'Attacks Log'!$B$2:$B$131,4)=0,"",COUNTIFS('Attacks Log'!$A$2:$A$131,$A4,'Attacks Log'!$B$2:$B$131,4)&amp;"x / "&amp;TEXT(SUMIFS('Attacks Log'!$C$2:$C$131,'Attacks Log'!$A$2:$A$131,$A4,'Attacks Log'!$B$2:$B$131,4),"#,##0")&amp;"M")</f>
        <v>1x / 6,157M</v>
      </c>
      <c r="F4" s="7" t="str">
        <f aca="false">IF(COUNTIFS('Attacks Log'!$A$2:$A$131,$A4,'Attacks Log'!$B$2:$B$131,5)=0,"",COUNTIFS('Attacks Log'!$A$2:$A$131,$A4,'Attacks Log'!$B$2:$B$131,5)&amp;"x / "&amp;TEXT(SUMIFS('Attacks Log'!$C$2:$C$131,'Attacks Log'!$A$2:$A$131,$A4,'Attacks Log'!$B$2:$B$131,5),"#,##0")&amp;"M")</f>
        <v>2x / 16,725M</v>
      </c>
      <c r="G4" s="7" t="str">
        <f aca="false">IF(COUNTIFS('Attacks Log'!$A$2:$A$131,$A4,'Attacks Log'!$B$2:$B$131,6)=0,"",COUNTIFS('Attacks Log'!$A$2:$A$131,$A4,'Attacks Log'!$B$2:$B$131,6)&amp;"x / "&amp;TEXT(SUMIFS('Attacks Log'!$C$2:$C$131,'Attacks Log'!$A$2:$A$131,$A4,'Attacks Log'!$B$2:$B$131,6),"#,##0")&amp;"M")</f>
        <v/>
      </c>
      <c r="H4" s="7" t="str">
        <f aca="false">IF(COUNTIFS('Attacks Log'!$A$2:$A$131,$A4,'Attacks Log'!$B$2:$B$131,7)=0,"",COUNTIFS('Attacks Log'!$A$2:$A$131,$A4,'Attacks Log'!$B$2:$B$131,7)&amp;"x / "&amp;TEXT(SUMIFS('Attacks Log'!$C$2:$C$131,'Attacks Log'!$A$2:$A$131,$A4,'Attacks Log'!$B$2:$B$131,7),"#,##0")&amp;"M")</f>
        <v>1x / 7,293M</v>
      </c>
      <c r="I4" s="7" t="str">
        <f aca="false">IF(COUNTIFS('Attacks Log'!$A$2:$A$131,$A4,'Attacks Log'!$B$2:$B$131,8)=0,"",COUNTIFS('Attacks Log'!$A$2:$A$131,$A4,'Attacks Log'!$B$2:$B$131,8)&amp;"x / "&amp;TEXT(SUMIFS('Attacks Log'!$C$2:$C$131,'Attacks Log'!$A$2:$A$131,$A4,'Attacks Log'!$B$2:$B$131,8),"#,##0")&amp;"M")</f>
        <v/>
      </c>
      <c r="J4" s="7" t="str">
        <f aca="false">IF(COUNTIFS('Attacks Log'!$A$2:$A$131,$A4,'Attacks Log'!$B$2:$B$131,9)=0,"",COUNTIFS('Attacks Log'!$A$2:$A$131,$A4,'Attacks Log'!$B$2:$B$131,9)&amp;"x / "&amp;TEXT(SUMIFS('Attacks Log'!$C$2:$C$131,'Attacks Log'!$A$2:$A$131,$A4,'Attacks Log'!$B$2:$B$131,9),"#,##0")&amp;"M")</f>
        <v/>
      </c>
      <c r="K4" s="7" t="str">
        <f aca="false">IF(COUNTIFS('Attacks Log'!$A$2:$A$131,$A4,'Attacks Log'!$B$2:$B$131,10)=0,"",COUNTIFS('Attacks Log'!$A$2:$A$131,$A4,'Attacks Log'!$B$2:$B$131,10)&amp;"x / "&amp;TEXT(SUMIFS('Attacks Log'!$C$2:$C$131,'Attacks Log'!$A$2:$A$131,$A4,'Attacks Log'!$B$2:$B$131,10),"#,##0")&amp;"M")</f>
        <v/>
      </c>
      <c r="L4" s="7" t="str">
        <f aca="false">IF(COUNTIFS('Attacks Log'!$A$2:$A$131,$A4,'Attacks Log'!$B$2:$B$131,11)=0,"",COUNTIFS('Attacks Log'!$A$2:$A$131,$A4,'Attacks Log'!$B$2:$B$131,11)&amp;"x / "&amp;TEXT(SUMIFS('Attacks Log'!$C$2:$C$131,'Attacks Log'!$A$2:$A$131,$A4,'Attacks Log'!$B$2:$B$131,11),"#,##0")&amp;"M")</f>
        <v/>
      </c>
      <c r="M4" s="7" t="str">
        <f aca="false">IF(COUNTIFS('Attacks Log'!$A$2:$A$131,$A4,'Attacks Log'!$B$2:$B$131,12)=0,"",COUNTIFS('Attacks Log'!$A$2:$A$131,$A4,'Attacks Log'!$B$2:$B$131,12)&amp;"x / "&amp;TEXT(SUMIFS('Attacks Log'!$C$2:$C$131,'Attacks Log'!$A$2:$A$131,$A4,'Attacks Log'!$B$2:$B$131,12),"#,##0")&amp;"M")</f>
        <v/>
      </c>
      <c r="N4" s="7" t="str">
        <f aca="false">IF(COUNTIFS('Attacks Log'!$A$2:$A$131,$A4,'Attacks Log'!$B$2:$B$131,13)=0,"",COUNTIFS('Attacks Log'!$A$2:$A$131,$A4,'Attacks Log'!$B$2:$B$131,13)&amp;"x / "&amp;TEXT(SUMIFS('Attacks Log'!$C$2:$C$131,'Attacks Log'!$A$2:$A$131,$A4,'Attacks Log'!$B$2:$B$131,13),"#,##0")&amp;"M")</f>
        <v/>
      </c>
      <c r="O4" s="7" t="str">
        <f aca="false">IF(COUNTIFS('Attacks Log'!$A$2:$A$131,$A4,'Attacks Log'!$B$2:$B$131,14)=0,"",COUNTIFS('Attacks Log'!$A$2:$A$131,$A4,'Attacks Log'!$B$2:$B$131,14)&amp;"x / "&amp;TEXT(SUMIFS('Attacks Log'!$C$2:$C$131,'Attacks Log'!$A$2:$A$131,$A4,'Attacks Log'!$B$2:$B$131,14),"#,##0")&amp;"M")</f>
        <v/>
      </c>
      <c r="P4" s="7" t="str">
        <f aca="false">IF(COUNTIFS('Attacks Log'!$A$2:$A$131,$A4,'Attacks Log'!$B$2:$B$131,15)=0,"",COUNTIFS('Attacks Log'!$A$2:$A$131,$A4,'Attacks Log'!$B$2:$B$131,15)&amp;"x / "&amp;TEXT(SUMIFS('Attacks Log'!$C$2:$C$131,'Attacks Log'!$A$2:$A$131,$A4,'Attacks Log'!$B$2:$B$131,15),"#,##0")&amp;"M")</f>
        <v>1x / 14,076M</v>
      </c>
      <c r="Q4" s="7" t="str">
        <f aca="false">IF(COUNTIFS('Attacks Log'!$A$2:$A$131,$A4,'Attacks Log'!$B$2:$B$131,16)=0,"",COUNTIFS('Attacks Log'!$A$2:$A$131,$A4,'Attacks Log'!$B$2:$B$131,16)&amp;"x / "&amp;TEXT(SUMIFS('Attacks Log'!$C$2:$C$131,'Attacks Log'!$A$2:$A$131,$A4,'Attacks Log'!$B$2:$B$131,16),"#,##0")&amp;"M")</f>
        <v/>
      </c>
      <c r="R4" s="7" t="str">
        <f aca="false">IF(COUNTIFS('Attacks Log'!$A$2:$A$131,$A4,'Attacks Log'!$B$2:$B$131,17)=0,"",COUNTIFS('Attacks Log'!$A$2:$A$131,$A4,'Attacks Log'!$B$2:$B$131,17)&amp;"x / "&amp;TEXT(SUMIFS('Attacks Log'!$C$2:$C$131,'Attacks Log'!$A$2:$A$131,$A4,'Attacks Log'!$B$2:$B$131,17),"#,##0")&amp;"M")</f>
        <v>1x / 11,785M</v>
      </c>
      <c r="S4" s="7" t="str">
        <f aca="false">IF(COUNTIFS('Attacks Log'!$A$2:$A$131,$A4,'Attacks Log'!$B$2:$B$131,18)=0,"",COUNTIFS('Attacks Log'!$A$2:$A$131,$A4,'Attacks Log'!$B$2:$B$131,18)&amp;"x / "&amp;TEXT(SUMIFS('Attacks Log'!$C$2:$C$131,'Attacks Log'!$A$2:$A$131,$A4,'Attacks Log'!$B$2:$B$131,18),"#,##0")&amp;"M")</f>
        <v>2x / 19,258M</v>
      </c>
      <c r="T4" s="7" t="str">
        <f aca="false">IF(COUNTIFS('Attacks Log'!$A$2:$A$131,$A4,'Attacks Log'!$B$2:$B$131,19)=0,"",COUNTIFS('Attacks Log'!$A$2:$A$131,$A4,'Attacks Log'!$B$2:$B$131,19)&amp;"x / "&amp;TEXT(SUMIFS('Attacks Log'!$C$2:$C$131,'Attacks Log'!$A$2:$A$131,$A4,'Attacks Log'!$B$2:$B$131,19),"#,##0")&amp;"M")</f>
        <v>1x / 9,743M</v>
      </c>
      <c r="U4" s="7" t="str">
        <f aca="false">IF(COUNTIFS('Attacks Log'!$A$2:$A$131,$A4,'Attacks Log'!$B$2:$B$131,20)=0,"",COUNTIFS('Attacks Log'!$A$2:$A$131,$A4,'Attacks Log'!$B$2:$B$131,20)&amp;"x / "&amp;TEXT(SUMIFS('Attacks Log'!$C$2:$C$131,'Attacks Log'!$A$2:$A$131,$A4,'Attacks Log'!$B$2:$B$131,20),"#,##0")&amp;"M")</f>
        <v>1x / 11,437M</v>
      </c>
    </row>
    <row r="5" customFormat="false" ht="15" hidden="false" customHeight="false" outlineLevel="0" collapsed="false">
      <c r="A5" s="4" t="s">
        <v>6</v>
      </c>
      <c r="B5" s="7" t="str">
        <f aca="false">IF(COUNTIFS('Attacks Log'!$A$2:$A$131,$A5,'Attacks Log'!$B$2:$B$131,1)=0,"",COUNTIFS('Attacks Log'!$A$2:$A$131,$A5,'Attacks Log'!$B$2:$B$131,1)&amp;"x / "&amp;TEXT(SUMIFS('Attacks Log'!$C$2:$C$131,'Attacks Log'!$A$2:$A$131,$A5,'Attacks Log'!$B$2:$B$131,1),"#,##0")&amp;"M")</f>
        <v/>
      </c>
      <c r="C5" s="7" t="str">
        <f aca="false">IF(COUNTIFS('Attacks Log'!$A$2:$A$131,$A5,'Attacks Log'!$B$2:$B$131,2)=0,"",COUNTIFS('Attacks Log'!$A$2:$A$131,$A5,'Attacks Log'!$B$2:$B$131,2)&amp;"x / "&amp;TEXT(SUMIFS('Attacks Log'!$C$2:$C$131,'Attacks Log'!$A$2:$A$131,$A5,'Attacks Log'!$B$2:$B$131,2),"#,##0")&amp;"M")</f>
        <v/>
      </c>
      <c r="D5" s="7" t="str">
        <f aca="false">IF(COUNTIFS('Attacks Log'!$A$2:$A$131,$A5,'Attacks Log'!$B$2:$B$131,3)=0,"",COUNTIFS('Attacks Log'!$A$2:$A$131,$A5,'Attacks Log'!$B$2:$B$131,3)&amp;"x / "&amp;TEXT(SUMIFS('Attacks Log'!$C$2:$C$131,'Attacks Log'!$A$2:$A$131,$A5,'Attacks Log'!$B$2:$B$131,3),"#,##0")&amp;"M")</f>
        <v/>
      </c>
      <c r="E5" s="7" t="str">
        <f aca="false">IF(COUNTIFS('Attacks Log'!$A$2:$A$131,$A5,'Attacks Log'!$B$2:$B$131,4)=0,"",COUNTIFS('Attacks Log'!$A$2:$A$131,$A5,'Attacks Log'!$B$2:$B$131,4)&amp;"x / "&amp;TEXT(SUMIFS('Attacks Log'!$C$2:$C$131,'Attacks Log'!$A$2:$A$131,$A5,'Attacks Log'!$B$2:$B$131,4),"#,##0")&amp;"M")</f>
        <v/>
      </c>
      <c r="F5" s="7" t="str">
        <f aca="false">IF(COUNTIFS('Attacks Log'!$A$2:$A$131,$A5,'Attacks Log'!$B$2:$B$131,5)=0,"",COUNTIFS('Attacks Log'!$A$2:$A$131,$A5,'Attacks Log'!$B$2:$B$131,5)&amp;"x / "&amp;TEXT(SUMIFS('Attacks Log'!$C$2:$C$131,'Attacks Log'!$A$2:$A$131,$A5,'Attacks Log'!$B$2:$B$131,5),"#,##0")&amp;"M")</f>
        <v>2x / 13,094M</v>
      </c>
      <c r="G5" s="7" t="str">
        <f aca="false">IF(COUNTIFS('Attacks Log'!$A$2:$A$131,$A5,'Attacks Log'!$B$2:$B$131,6)=0,"",COUNTIFS('Attacks Log'!$A$2:$A$131,$A5,'Attacks Log'!$B$2:$B$131,6)&amp;"x / "&amp;TEXT(SUMIFS('Attacks Log'!$C$2:$C$131,'Attacks Log'!$A$2:$A$131,$A5,'Attacks Log'!$B$2:$B$131,6),"#,##0")&amp;"M")</f>
        <v>2x / 16,456M</v>
      </c>
      <c r="H5" s="7" t="str">
        <f aca="false">IF(COUNTIFS('Attacks Log'!$A$2:$A$131,$A5,'Attacks Log'!$B$2:$B$131,7)=0,"",COUNTIFS('Attacks Log'!$A$2:$A$131,$A5,'Attacks Log'!$B$2:$B$131,7)&amp;"x / "&amp;TEXT(SUMIFS('Attacks Log'!$C$2:$C$131,'Attacks Log'!$A$2:$A$131,$A5,'Attacks Log'!$B$2:$B$131,7),"#,##0")&amp;"M")</f>
        <v>1x / 4,386M</v>
      </c>
      <c r="I5" s="7" t="str">
        <f aca="false">IF(COUNTIFS('Attacks Log'!$A$2:$A$131,$A5,'Attacks Log'!$B$2:$B$131,8)=0,"",COUNTIFS('Attacks Log'!$A$2:$A$131,$A5,'Attacks Log'!$B$2:$B$131,8)&amp;"x / "&amp;TEXT(SUMIFS('Attacks Log'!$C$2:$C$131,'Attacks Log'!$A$2:$A$131,$A5,'Attacks Log'!$B$2:$B$131,8),"#,##0")&amp;"M")</f>
        <v/>
      </c>
      <c r="J5" s="7" t="str">
        <f aca="false">IF(COUNTIFS('Attacks Log'!$A$2:$A$131,$A5,'Attacks Log'!$B$2:$B$131,9)=0,"",COUNTIFS('Attacks Log'!$A$2:$A$131,$A5,'Attacks Log'!$B$2:$B$131,9)&amp;"x / "&amp;TEXT(SUMIFS('Attacks Log'!$C$2:$C$131,'Attacks Log'!$A$2:$A$131,$A5,'Attacks Log'!$B$2:$B$131,9),"#,##0")&amp;"M")</f>
        <v/>
      </c>
      <c r="K5" s="7" t="str">
        <f aca="false">IF(COUNTIFS('Attacks Log'!$A$2:$A$131,$A5,'Attacks Log'!$B$2:$B$131,10)=0,"",COUNTIFS('Attacks Log'!$A$2:$A$131,$A5,'Attacks Log'!$B$2:$B$131,10)&amp;"x / "&amp;TEXT(SUMIFS('Attacks Log'!$C$2:$C$131,'Attacks Log'!$A$2:$A$131,$A5,'Attacks Log'!$B$2:$B$131,10),"#,##0")&amp;"M")</f>
        <v/>
      </c>
      <c r="L5" s="7" t="str">
        <f aca="false">IF(COUNTIFS('Attacks Log'!$A$2:$A$131,$A5,'Attacks Log'!$B$2:$B$131,11)=0,"",COUNTIFS('Attacks Log'!$A$2:$A$131,$A5,'Attacks Log'!$B$2:$B$131,11)&amp;"x / "&amp;TEXT(SUMIFS('Attacks Log'!$C$2:$C$131,'Attacks Log'!$A$2:$A$131,$A5,'Attacks Log'!$B$2:$B$131,11),"#,##0")&amp;"M")</f>
        <v/>
      </c>
      <c r="M5" s="7" t="str">
        <f aca="false">IF(COUNTIFS('Attacks Log'!$A$2:$A$131,$A5,'Attacks Log'!$B$2:$B$131,12)=0,"",COUNTIFS('Attacks Log'!$A$2:$A$131,$A5,'Attacks Log'!$B$2:$B$131,12)&amp;"x / "&amp;TEXT(SUMIFS('Attacks Log'!$C$2:$C$131,'Attacks Log'!$A$2:$A$131,$A5,'Attacks Log'!$B$2:$B$131,12),"#,##0")&amp;"M")</f>
        <v/>
      </c>
      <c r="N5" s="7" t="str">
        <f aca="false">IF(COUNTIFS('Attacks Log'!$A$2:$A$131,$A5,'Attacks Log'!$B$2:$B$131,13)=0,"",COUNTIFS('Attacks Log'!$A$2:$A$131,$A5,'Attacks Log'!$B$2:$B$131,13)&amp;"x / "&amp;TEXT(SUMIFS('Attacks Log'!$C$2:$C$131,'Attacks Log'!$A$2:$A$131,$A5,'Attacks Log'!$B$2:$B$131,13),"#,##0")&amp;"M")</f>
        <v/>
      </c>
      <c r="O5" s="7" t="str">
        <f aca="false">IF(COUNTIFS('Attacks Log'!$A$2:$A$131,$A5,'Attacks Log'!$B$2:$B$131,14)=0,"",COUNTIFS('Attacks Log'!$A$2:$A$131,$A5,'Attacks Log'!$B$2:$B$131,14)&amp;"x / "&amp;TEXT(SUMIFS('Attacks Log'!$C$2:$C$131,'Attacks Log'!$A$2:$A$131,$A5,'Attacks Log'!$B$2:$B$131,14),"#,##0")&amp;"M")</f>
        <v/>
      </c>
      <c r="P5" s="7" t="str">
        <f aca="false">IF(COUNTIFS('Attacks Log'!$A$2:$A$131,$A5,'Attacks Log'!$B$2:$B$131,15)=0,"",COUNTIFS('Attacks Log'!$A$2:$A$131,$A5,'Attacks Log'!$B$2:$B$131,15)&amp;"x / "&amp;TEXT(SUMIFS('Attacks Log'!$C$2:$C$131,'Attacks Log'!$A$2:$A$131,$A5,'Attacks Log'!$B$2:$B$131,15),"#,##0")&amp;"M")</f>
        <v>1x / 8,028M</v>
      </c>
      <c r="Q5" s="7" t="str">
        <f aca="false">IF(COUNTIFS('Attacks Log'!$A$2:$A$131,$A5,'Attacks Log'!$B$2:$B$131,16)=0,"",COUNTIFS('Attacks Log'!$A$2:$A$131,$A5,'Attacks Log'!$B$2:$B$131,16)&amp;"x / "&amp;TEXT(SUMIFS('Attacks Log'!$C$2:$C$131,'Attacks Log'!$A$2:$A$131,$A5,'Attacks Log'!$B$2:$B$131,16),"#,##0")&amp;"M")</f>
        <v/>
      </c>
      <c r="R5" s="7" t="str">
        <f aca="false">IF(COUNTIFS('Attacks Log'!$A$2:$A$131,$A5,'Attacks Log'!$B$2:$B$131,17)=0,"",COUNTIFS('Attacks Log'!$A$2:$A$131,$A5,'Attacks Log'!$B$2:$B$131,17)&amp;"x / "&amp;TEXT(SUMIFS('Attacks Log'!$C$2:$C$131,'Attacks Log'!$A$2:$A$131,$A5,'Attacks Log'!$B$2:$B$131,17),"#,##0")&amp;"M")</f>
        <v>1x / 9,715M</v>
      </c>
      <c r="S5" s="7" t="str">
        <f aca="false">IF(COUNTIFS('Attacks Log'!$A$2:$A$131,$A5,'Attacks Log'!$B$2:$B$131,18)=0,"",COUNTIFS('Attacks Log'!$A$2:$A$131,$A5,'Attacks Log'!$B$2:$B$131,18)&amp;"x / "&amp;TEXT(SUMIFS('Attacks Log'!$C$2:$C$131,'Attacks Log'!$A$2:$A$131,$A5,'Attacks Log'!$B$2:$B$131,18),"#,##0")&amp;"M")</f>
        <v>1x / 4,804M</v>
      </c>
      <c r="T5" s="7" t="str">
        <f aca="false">IF(COUNTIFS('Attacks Log'!$A$2:$A$131,$A5,'Attacks Log'!$B$2:$B$131,19)=0,"",COUNTIFS('Attacks Log'!$A$2:$A$131,$A5,'Attacks Log'!$B$2:$B$131,19)&amp;"x / "&amp;TEXT(SUMIFS('Attacks Log'!$C$2:$C$131,'Attacks Log'!$A$2:$A$131,$A5,'Attacks Log'!$B$2:$B$131,19),"#,##0")&amp;"M")</f>
        <v>2x / 20,375M</v>
      </c>
      <c r="U5" s="7" t="str">
        <f aca="false">IF(COUNTIFS('Attacks Log'!$A$2:$A$131,$A5,'Attacks Log'!$B$2:$B$131,20)=0,"",COUNTIFS('Attacks Log'!$A$2:$A$131,$A5,'Attacks Log'!$B$2:$B$131,20)&amp;"x / "&amp;TEXT(SUMIFS('Attacks Log'!$C$2:$C$131,'Attacks Log'!$A$2:$A$131,$A5,'Attacks Log'!$B$2:$B$131,20),"#,##0")&amp;"M")</f>
        <v>4x / 37,289M</v>
      </c>
    </row>
    <row r="6" customFormat="false" ht="15" hidden="false" customHeight="false" outlineLevel="0" collapsed="false">
      <c r="A6" s="4" t="s">
        <v>7</v>
      </c>
      <c r="B6" s="7" t="str">
        <f aca="false">IF(COUNTIFS('Attacks Log'!$A$2:$A$131,$A6,'Attacks Log'!$B$2:$B$131,1)=0,"",COUNTIFS('Attacks Log'!$A$2:$A$131,$A6,'Attacks Log'!$B$2:$B$131,1)&amp;"x / "&amp;TEXT(SUMIFS('Attacks Log'!$C$2:$C$131,'Attacks Log'!$A$2:$A$131,$A6,'Attacks Log'!$B$2:$B$131,1),"#,##0")&amp;"M")</f>
        <v/>
      </c>
      <c r="C6" s="7" t="str">
        <f aca="false">IF(COUNTIFS('Attacks Log'!$A$2:$A$131,$A6,'Attacks Log'!$B$2:$B$131,2)=0,"",COUNTIFS('Attacks Log'!$A$2:$A$131,$A6,'Attacks Log'!$B$2:$B$131,2)&amp;"x / "&amp;TEXT(SUMIFS('Attacks Log'!$C$2:$C$131,'Attacks Log'!$A$2:$A$131,$A6,'Attacks Log'!$B$2:$B$131,2),"#,##0")&amp;"M")</f>
        <v/>
      </c>
      <c r="D6" s="7" t="str">
        <f aca="false">IF(COUNTIFS('Attacks Log'!$A$2:$A$131,$A6,'Attacks Log'!$B$2:$B$131,3)=0,"",COUNTIFS('Attacks Log'!$A$2:$A$131,$A6,'Attacks Log'!$B$2:$B$131,3)&amp;"x / "&amp;TEXT(SUMIFS('Attacks Log'!$C$2:$C$131,'Attacks Log'!$A$2:$A$131,$A6,'Attacks Log'!$B$2:$B$131,3),"#,##0")&amp;"M")</f>
        <v/>
      </c>
      <c r="E6" s="7" t="str">
        <f aca="false">IF(COUNTIFS('Attacks Log'!$A$2:$A$131,$A6,'Attacks Log'!$B$2:$B$131,4)=0,"",COUNTIFS('Attacks Log'!$A$2:$A$131,$A6,'Attacks Log'!$B$2:$B$131,4)&amp;"x / "&amp;TEXT(SUMIFS('Attacks Log'!$C$2:$C$131,'Attacks Log'!$A$2:$A$131,$A6,'Attacks Log'!$B$2:$B$131,4),"#,##0")&amp;"M")</f>
        <v/>
      </c>
      <c r="F6" s="7" t="str">
        <f aca="false">IF(COUNTIFS('Attacks Log'!$A$2:$A$131,$A6,'Attacks Log'!$B$2:$B$131,5)=0,"",COUNTIFS('Attacks Log'!$A$2:$A$131,$A6,'Attacks Log'!$B$2:$B$131,5)&amp;"x / "&amp;TEXT(SUMIFS('Attacks Log'!$C$2:$C$131,'Attacks Log'!$A$2:$A$131,$A6,'Attacks Log'!$B$2:$B$131,5),"#,##0")&amp;"M")</f>
        <v/>
      </c>
      <c r="G6" s="7" t="str">
        <f aca="false">IF(COUNTIFS('Attacks Log'!$A$2:$A$131,$A6,'Attacks Log'!$B$2:$B$131,6)=0,"",COUNTIFS('Attacks Log'!$A$2:$A$131,$A6,'Attacks Log'!$B$2:$B$131,6)&amp;"x / "&amp;TEXT(SUMIFS('Attacks Log'!$C$2:$C$131,'Attacks Log'!$A$2:$A$131,$A6,'Attacks Log'!$B$2:$B$131,6),"#,##0")&amp;"M")</f>
        <v>2x / 14,760M</v>
      </c>
      <c r="H6" s="7" t="str">
        <f aca="false">IF(COUNTIFS('Attacks Log'!$A$2:$A$131,$A6,'Attacks Log'!$B$2:$B$131,7)=0,"",COUNTIFS('Attacks Log'!$A$2:$A$131,$A6,'Attacks Log'!$B$2:$B$131,7)&amp;"x / "&amp;TEXT(SUMIFS('Attacks Log'!$C$2:$C$131,'Attacks Log'!$A$2:$A$131,$A6,'Attacks Log'!$B$2:$B$131,7),"#,##0")&amp;"M")</f>
        <v>1x / 8,102M</v>
      </c>
      <c r="I6" s="7" t="str">
        <f aca="false">IF(COUNTIFS('Attacks Log'!$A$2:$A$131,$A6,'Attacks Log'!$B$2:$B$131,8)=0,"",COUNTIFS('Attacks Log'!$A$2:$A$131,$A6,'Attacks Log'!$B$2:$B$131,8)&amp;"x / "&amp;TEXT(SUMIFS('Attacks Log'!$C$2:$C$131,'Attacks Log'!$A$2:$A$131,$A6,'Attacks Log'!$B$2:$B$131,8),"#,##0")&amp;"M")</f>
        <v>2x / 20,324M</v>
      </c>
      <c r="J6" s="7" t="str">
        <f aca="false">IF(COUNTIFS('Attacks Log'!$A$2:$A$131,$A6,'Attacks Log'!$B$2:$B$131,9)=0,"",COUNTIFS('Attacks Log'!$A$2:$A$131,$A6,'Attacks Log'!$B$2:$B$131,9)&amp;"x / "&amp;TEXT(SUMIFS('Attacks Log'!$C$2:$C$131,'Attacks Log'!$A$2:$A$131,$A6,'Attacks Log'!$B$2:$B$131,9),"#,##0")&amp;"M")</f>
        <v/>
      </c>
      <c r="K6" s="7" t="str">
        <f aca="false">IF(COUNTIFS('Attacks Log'!$A$2:$A$131,$A6,'Attacks Log'!$B$2:$B$131,10)=0,"",COUNTIFS('Attacks Log'!$A$2:$A$131,$A6,'Attacks Log'!$B$2:$B$131,10)&amp;"x / "&amp;TEXT(SUMIFS('Attacks Log'!$C$2:$C$131,'Attacks Log'!$A$2:$A$131,$A6,'Attacks Log'!$B$2:$B$131,10),"#,##0")&amp;"M")</f>
        <v/>
      </c>
      <c r="L6" s="7" t="str">
        <f aca="false">IF(COUNTIFS('Attacks Log'!$A$2:$A$131,$A6,'Attacks Log'!$B$2:$B$131,11)=0,"",COUNTIFS('Attacks Log'!$A$2:$A$131,$A6,'Attacks Log'!$B$2:$B$131,11)&amp;"x / "&amp;TEXT(SUMIFS('Attacks Log'!$C$2:$C$131,'Attacks Log'!$A$2:$A$131,$A6,'Attacks Log'!$B$2:$B$131,11),"#,##0")&amp;"M")</f>
        <v/>
      </c>
      <c r="M6" s="7" t="str">
        <f aca="false">IF(COUNTIFS('Attacks Log'!$A$2:$A$131,$A6,'Attacks Log'!$B$2:$B$131,12)=0,"",COUNTIFS('Attacks Log'!$A$2:$A$131,$A6,'Attacks Log'!$B$2:$B$131,12)&amp;"x / "&amp;TEXT(SUMIFS('Attacks Log'!$C$2:$C$131,'Attacks Log'!$A$2:$A$131,$A6,'Attacks Log'!$B$2:$B$131,12),"#,##0")&amp;"M")</f>
        <v/>
      </c>
      <c r="N6" s="7" t="str">
        <f aca="false">IF(COUNTIFS('Attacks Log'!$A$2:$A$131,$A6,'Attacks Log'!$B$2:$B$131,13)=0,"",COUNTIFS('Attacks Log'!$A$2:$A$131,$A6,'Attacks Log'!$B$2:$B$131,13)&amp;"x / "&amp;TEXT(SUMIFS('Attacks Log'!$C$2:$C$131,'Attacks Log'!$A$2:$A$131,$A6,'Attacks Log'!$B$2:$B$131,13),"#,##0")&amp;"M")</f>
        <v/>
      </c>
      <c r="O6" s="7" t="str">
        <f aca="false">IF(COUNTIFS('Attacks Log'!$A$2:$A$131,$A6,'Attacks Log'!$B$2:$B$131,14)=0,"",COUNTIFS('Attacks Log'!$A$2:$A$131,$A6,'Attacks Log'!$B$2:$B$131,14)&amp;"x / "&amp;TEXT(SUMIFS('Attacks Log'!$C$2:$C$131,'Attacks Log'!$A$2:$A$131,$A6,'Attacks Log'!$B$2:$B$131,14),"#,##0")&amp;"M")</f>
        <v/>
      </c>
      <c r="P6" s="7" t="str">
        <f aca="false">IF(COUNTIFS('Attacks Log'!$A$2:$A$131,$A6,'Attacks Log'!$B$2:$B$131,15)=0,"",COUNTIFS('Attacks Log'!$A$2:$A$131,$A6,'Attacks Log'!$B$2:$B$131,15)&amp;"x / "&amp;TEXT(SUMIFS('Attacks Log'!$C$2:$C$131,'Attacks Log'!$A$2:$A$131,$A6,'Attacks Log'!$B$2:$B$131,15),"#,##0")&amp;"M")</f>
        <v>1x / 12,573M</v>
      </c>
      <c r="Q6" s="7" t="str">
        <f aca="false">IF(COUNTIFS('Attacks Log'!$A$2:$A$131,$A6,'Attacks Log'!$B$2:$B$131,16)=0,"",COUNTIFS('Attacks Log'!$A$2:$A$131,$A6,'Attacks Log'!$B$2:$B$131,16)&amp;"x / "&amp;TEXT(SUMIFS('Attacks Log'!$C$2:$C$131,'Attacks Log'!$A$2:$A$131,$A6,'Attacks Log'!$B$2:$B$131,16),"#,##0")&amp;"M")</f>
        <v>1x / 9,727M</v>
      </c>
      <c r="R6" s="7" t="str">
        <f aca="false">IF(COUNTIFS('Attacks Log'!$A$2:$A$131,$A6,'Attacks Log'!$B$2:$B$131,17)=0,"",COUNTIFS('Attacks Log'!$A$2:$A$131,$A6,'Attacks Log'!$B$2:$B$131,17)&amp;"x / "&amp;TEXT(SUMIFS('Attacks Log'!$C$2:$C$131,'Attacks Log'!$A$2:$A$131,$A6,'Attacks Log'!$B$2:$B$131,17),"#,##0")&amp;"M")</f>
        <v>2x / 21,216M</v>
      </c>
      <c r="S6" s="7" t="str">
        <f aca="false">IF(COUNTIFS('Attacks Log'!$A$2:$A$131,$A6,'Attacks Log'!$B$2:$B$131,18)=0,"",COUNTIFS('Attacks Log'!$A$2:$A$131,$A6,'Attacks Log'!$B$2:$B$131,18)&amp;"x / "&amp;TEXT(SUMIFS('Attacks Log'!$C$2:$C$131,'Attacks Log'!$A$2:$A$131,$A6,'Attacks Log'!$B$2:$B$131,18),"#,##0")&amp;"M")</f>
        <v>1x / 11,306M</v>
      </c>
      <c r="T6" s="7" t="str">
        <f aca="false">IF(COUNTIFS('Attacks Log'!$A$2:$A$131,$A6,'Attacks Log'!$B$2:$B$131,19)=0,"",COUNTIFS('Attacks Log'!$A$2:$A$131,$A6,'Attacks Log'!$B$2:$B$131,19)&amp;"x / "&amp;TEXT(SUMIFS('Attacks Log'!$C$2:$C$131,'Attacks Log'!$A$2:$A$131,$A6,'Attacks Log'!$B$2:$B$131,19),"#,##0")&amp;"M")</f>
        <v>2x / 22,100M</v>
      </c>
      <c r="U6" s="7" t="str">
        <f aca="false">IF(COUNTIFS('Attacks Log'!$A$2:$A$131,$A6,'Attacks Log'!$B$2:$B$131,20)=0,"",COUNTIFS('Attacks Log'!$A$2:$A$131,$A6,'Attacks Log'!$B$2:$B$131,20)&amp;"x / "&amp;TEXT(SUMIFS('Attacks Log'!$C$2:$C$131,'Attacks Log'!$A$2:$A$131,$A6,'Attacks Log'!$B$2:$B$131,20),"#,##0")&amp;"M")</f>
        <v>1x / 11,914M</v>
      </c>
    </row>
    <row r="7" customFormat="false" ht="15" hidden="false" customHeight="false" outlineLevel="0" collapsed="false">
      <c r="A7" s="4" t="s">
        <v>8</v>
      </c>
      <c r="B7" s="7" t="str">
        <f aca="false">IF(COUNTIFS('Attacks Log'!$A$2:$A$131,$A7,'Attacks Log'!$B$2:$B$131,1)=0,"",COUNTIFS('Attacks Log'!$A$2:$A$131,$A7,'Attacks Log'!$B$2:$B$131,1)&amp;"x / "&amp;TEXT(SUMIFS('Attacks Log'!$C$2:$C$131,'Attacks Log'!$A$2:$A$131,$A7,'Attacks Log'!$B$2:$B$131,1),"#,##0")&amp;"M")</f>
        <v/>
      </c>
      <c r="C7" s="7" t="str">
        <f aca="false">IF(COUNTIFS('Attacks Log'!$A$2:$A$131,$A7,'Attacks Log'!$B$2:$B$131,2)=0,"",COUNTIFS('Attacks Log'!$A$2:$A$131,$A7,'Attacks Log'!$B$2:$B$131,2)&amp;"x / "&amp;TEXT(SUMIFS('Attacks Log'!$C$2:$C$131,'Attacks Log'!$A$2:$A$131,$A7,'Attacks Log'!$B$2:$B$131,2),"#,##0")&amp;"M")</f>
        <v/>
      </c>
      <c r="D7" s="7" t="str">
        <f aca="false">IF(COUNTIFS('Attacks Log'!$A$2:$A$131,$A7,'Attacks Log'!$B$2:$B$131,3)=0,"",COUNTIFS('Attacks Log'!$A$2:$A$131,$A7,'Attacks Log'!$B$2:$B$131,3)&amp;"x / "&amp;TEXT(SUMIFS('Attacks Log'!$C$2:$C$131,'Attacks Log'!$A$2:$A$131,$A7,'Attacks Log'!$B$2:$B$131,3),"#,##0")&amp;"M")</f>
        <v/>
      </c>
      <c r="E7" s="7" t="str">
        <f aca="false">IF(COUNTIFS('Attacks Log'!$A$2:$A$131,$A7,'Attacks Log'!$B$2:$B$131,4)=0,"",COUNTIFS('Attacks Log'!$A$2:$A$131,$A7,'Attacks Log'!$B$2:$B$131,4)&amp;"x / "&amp;TEXT(SUMIFS('Attacks Log'!$C$2:$C$131,'Attacks Log'!$A$2:$A$131,$A7,'Attacks Log'!$B$2:$B$131,4),"#,##0")&amp;"M")</f>
        <v/>
      </c>
      <c r="F7" s="7" t="str">
        <f aca="false">IF(COUNTIFS('Attacks Log'!$A$2:$A$131,$A7,'Attacks Log'!$B$2:$B$131,5)=0,"",COUNTIFS('Attacks Log'!$A$2:$A$131,$A7,'Attacks Log'!$B$2:$B$131,5)&amp;"x / "&amp;TEXT(SUMIFS('Attacks Log'!$C$2:$C$131,'Attacks Log'!$A$2:$A$131,$A7,'Attacks Log'!$B$2:$B$131,5),"#,##0")&amp;"M")</f>
        <v/>
      </c>
      <c r="G7" s="7" t="str">
        <f aca="false">IF(COUNTIFS('Attacks Log'!$A$2:$A$131,$A7,'Attacks Log'!$B$2:$B$131,6)=0,"",COUNTIFS('Attacks Log'!$A$2:$A$131,$A7,'Attacks Log'!$B$2:$B$131,6)&amp;"x / "&amp;TEXT(SUMIFS('Attacks Log'!$C$2:$C$131,'Attacks Log'!$A$2:$A$131,$A7,'Attacks Log'!$B$2:$B$131,6),"#,##0")&amp;"M")</f>
        <v/>
      </c>
      <c r="H7" s="7" t="str">
        <f aca="false">IF(COUNTIFS('Attacks Log'!$A$2:$A$131,$A7,'Attacks Log'!$B$2:$B$131,7)=0,"",COUNTIFS('Attacks Log'!$A$2:$A$131,$A7,'Attacks Log'!$B$2:$B$131,7)&amp;"x / "&amp;TEXT(SUMIFS('Attacks Log'!$C$2:$C$131,'Attacks Log'!$A$2:$A$131,$A7,'Attacks Log'!$B$2:$B$131,7),"#,##0")&amp;"M")</f>
        <v>2x / 19,735M</v>
      </c>
      <c r="I7" s="7" t="str">
        <f aca="false">IF(COUNTIFS('Attacks Log'!$A$2:$A$131,$A7,'Attacks Log'!$B$2:$B$131,8)=0,"",COUNTIFS('Attacks Log'!$A$2:$A$131,$A7,'Attacks Log'!$B$2:$B$131,8)&amp;"x / "&amp;TEXT(SUMIFS('Attacks Log'!$C$2:$C$131,'Attacks Log'!$A$2:$A$131,$A7,'Attacks Log'!$B$2:$B$131,8),"#,##0")&amp;"M")</f>
        <v/>
      </c>
      <c r="J7" s="7" t="str">
        <f aca="false">IF(COUNTIFS('Attacks Log'!$A$2:$A$131,$A7,'Attacks Log'!$B$2:$B$131,9)=0,"",COUNTIFS('Attacks Log'!$A$2:$A$131,$A7,'Attacks Log'!$B$2:$B$131,9)&amp;"x / "&amp;TEXT(SUMIFS('Attacks Log'!$C$2:$C$131,'Attacks Log'!$A$2:$A$131,$A7,'Attacks Log'!$B$2:$B$131,9),"#,##0")&amp;"M")</f>
        <v>2x / 22,392M</v>
      </c>
      <c r="K7" s="7" t="str">
        <f aca="false">IF(COUNTIFS('Attacks Log'!$A$2:$A$131,$A7,'Attacks Log'!$B$2:$B$131,10)=0,"",COUNTIFS('Attacks Log'!$A$2:$A$131,$A7,'Attacks Log'!$B$2:$B$131,10)&amp;"x / "&amp;TEXT(SUMIFS('Attacks Log'!$C$2:$C$131,'Attacks Log'!$A$2:$A$131,$A7,'Attacks Log'!$B$2:$B$131,10),"#,##0")&amp;"M")</f>
        <v>1x / 8,445M</v>
      </c>
      <c r="L7" s="7" t="str">
        <f aca="false">IF(COUNTIFS('Attacks Log'!$A$2:$A$131,$A7,'Attacks Log'!$B$2:$B$131,11)=0,"",COUNTIFS('Attacks Log'!$A$2:$A$131,$A7,'Attacks Log'!$B$2:$B$131,11)&amp;"x / "&amp;TEXT(SUMIFS('Attacks Log'!$C$2:$C$131,'Attacks Log'!$A$2:$A$131,$A7,'Attacks Log'!$B$2:$B$131,11),"#,##0")&amp;"M")</f>
        <v/>
      </c>
      <c r="M7" s="7" t="str">
        <f aca="false">IF(COUNTIFS('Attacks Log'!$A$2:$A$131,$A7,'Attacks Log'!$B$2:$B$131,12)=0,"",COUNTIFS('Attacks Log'!$A$2:$A$131,$A7,'Attacks Log'!$B$2:$B$131,12)&amp;"x / "&amp;TEXT(SUMIFS('Attacks Log'!$C$2:$C$131,'Attacks Log'!$A$2:$A$131,$A7,'Attacks Log'!$B$2:$B$131,12),"#,##0")&amp;"M")</f>
        <v/>
      </c>
      <c r="N7" s="7" t="str">
        <f aca="false">IF(COUNTIFS('Attacks Log'!$A$2:$A$131,$A7,'Attacks Log'!$B$2:$B$131,13)=0,"",COUNTIFS('Attacks Log'!$A$2:$A$131,$A7,'Attacks Log'!$B$2:$B$131,13)&amp;"x / "&amp;TEXT(SUMIFS('Attacks Log'!$C$2:$C$131,'Attacks Log'!$A$2:$A$131,$A7,'Attacks Log'!$B$2:$B$131,13),"#,##0")&amp;"M")</f>
        <v/>
      </c>
      <c r="O7" s="7" t="str">
        <f aca="false">IF(COUNTIFS('Attacks Log'!$A$2:$A$131,$A7,'Attacks Log'!$B$2:$B$131,14)=0,"",COUNTIFS('Attacks Log'!$A$2:$A$131,$A7,'Attacks Log'!$B$2:$B$131,14)&amp;"x / "&amp;TEXT(SUMIFS('Attacks Log'!$C$2:$C$131,'Attacks Log'!$A$2:$A$131,$A7,'Attacks Log'!$B$2:$B$131,14),"#,##0")&amp;"M")</f>
        <v/>
      </c>
      <c r="P7" s="7" t="str">
        <f aca="false">IF(COUNTIFS('Attacks Log'!$A$2:$A$131,$A7,'Attacks Log'!$B$2:$B$131,15)=0,"",COUNTIFS('Attacks Log'!$A$2:$A$131,$A7,'Attacks Log'!$B$2:$B$131,15)&amp;"x / "&amp;TEXT(SUMIFS('Attacks Log'!$C$2:$C$131,'Attacks Log'!$A$2:$A$131,$A7,'Attacks Log'!$B$2:$B$131,15),"#,##0")&amp;"M")</f>
        <v/>
      </c>
      <c r="Q7" s="7" t="str">
        <f aca="false">IF(COUNTIFS('Attacks Log'!$A$2:$A$131,$A7,'Attacks Log'!$B$2:$B$131,16)=0,"",COUNTIFS('Attacks Log'!$A$2:$A$131,$A7,'Attacks Log'!$B$2:$B$131,16)&amp;"x / "&amp;TEXT(SUMIFS('Attacks Log'!$C$2:$C$131,'Attacks Log'!$A$2:$A$131,$A7,'Attacks Log'!$B$2:$B$131,16),"#,##0")&amp;"M")</f>
        <v>2x / 21,462M</v>
      </c>
      <c r="R7" s="7" t="str">
        <f aca="false">IF(COUNTIFS('Attacks Log'!$A$2:$A$131,$A7,'Attacks Log'!$B$2:$B$131,17)=0,"",COUNTIFS('Attacks Log'!$A$2:$A$131,$A7,'Attacks Log'!$B$2:$B$131,17)&amp;"x / "&amp;TEXT(SUMIFS('Attacks Log'!$C$2:$C$131,'Attacks Log'!$A$2:$A$131,$A7,'Attacks Log'!$B$2:$B$131,17),"#,##0")&amp;"M")</f>
        <v>1x / 18,029M</v>
      </c>
      <c r="S7" s="7" t="str">
        <f aca="false">IF(COUNTIFS('Attacks Log'!$A$2:$A$131,$A7,'Attacks Log'!$B$2:$B$131,18)=0,"",COUNTIFS('Attacks Log'!$A$2:$A$131,$A7,'Attacks Log'!$B$2:$B$131,18)&amp;"x / "&amp;TEXT(SUMIFS('Attacks Log'!$C$2:$C$131,'Attacks Log'!$A$2:$A$131,$A7,'Attacks Log'!$B$2:$B$131,18),"#,##0")&amp;"M")</f>
        <v/>
      </c>
      <c r="T7" s="7" t="str">
        <f aca="false">IF(COUNTIFS('Attacks Log'!$A$2:$A$131,$A7,'Attacks Log'!$B$2:$B$131,19)=0,"",COUNTIFS('Attacks Log'!$A$2:$A$131,$A7,'Attacks Log'!$B$2:$B$131,19)&amp;"x / "&amp;TEXT(SUMIFS('Attacks Log'!$C$2:$C$131,'Attacks Log'!$A$2:$A$131,$A7,'Attacks Log'!$B$2:$B$131,19),"#,##0")&amp;"M")</f>
        <v>3x / 25,904M</v>
      </c>
      <c r="U7" s="7" t="str">
        <f aca="false">IF(COUNTIFS('Attacks Log'!$A$2:$A$131,$A7,'Attacks Log'!$B$2:$B$131,20)=0,"",COUNTIFS('Attacks Log'!$A$2:$A$131,$A7,'Attacks Log'!$B$2:$B$131,20)&amp;"x / "&amp;TEXT(SUMIFS('Attacks Log'!$C$2:$C$131,'Attacks Log'!$A$2:$A$131,$A7,'Attacks Log'!$B$2:$B$131,20),"#,##0")&amp;"M")</f>
        <v>3x / 33,047M</v>
      </c>
    </row>
    <row r="8" customFormat="false" ht="15" hidden="false" customHeight="false" outlineLevel="0" collapsed="false">
      <c r="A8" s="4" t="s">
        <v>9</v>
      </c>
      <c r="B8" s="7" t="str">
        <f aca="false">IF(COUNTIFS('Attacks Log'!$A$2:$A$131,$A8,'Attacks Log'!$B$2:$B$131,1)=0,"",COUNTIFS('Attacks Log'!$A$2:$A$131,$A8,'Attacks Log'!$B$2:$B$131,1)&amp;"x / "&amp;TEXT(SUMIFS('Attacks Log'!$C$2:$C$131,'Attacks Log'!$A$2:$A$131,$A8,'Attacks Log'!$B$2:$B$131,1),"#,##0")&amp;"M")</f>
        <v/>
      </c>
      <c r="C8" s="7" t="str">
        <f aca="false">IF(COUNTIFS('Attacks Log'!$A$2:$A$131,$A8,'Attacks Log'!$B$2:$B$131,2)=0,"",COUNTIFS('Attacks Log'!$A$2:$A$131,$A8,'Attacks Log'!$B$2:$B$131,2)&amp;"x / "&amp;TEXT(SUMIFS('Attacks Log'!$C$2:$C$131,'Attacks Log'!$A$2:$A$131,$A8,'Attacks Log'!$B$2:$B$131,2),"#,##0")&amp;"M")</f>
        <v/>
      </c>
      <c r="D8" s="7" t="str">
        <f aca="false">IF(COUNTIFS('Attacks Log'!$A$2:$A$131,$A8,'Attacks Log'!$B$2:$B$131,3)=0,"",COUNTIFS('Attacks Log'!$A$2:$A$131,$A8,'Attacks Log'!$B$2:$B$131,3)&amp;"x / "&amp;TEXT(SUMIFS('Attacks Log'!$C$2:$C$131,'Attacks Log'!$A$2:$A$131,$A8,'Attacks Log'!$B$2:$B$131,3),"#,##0")&amp;"M")</f>
        <v/>
      </c>
      <c r="E8" s="7" t="str">
        <f aca="false">IF(COUNTIFS('Attacks Log'!$A$2:$A$131,$A8,'Attacks Log'!$B$2:$B$131,4)=0,"",COUNTIFS('Attacks Log'!$A$2:$A$131,$A8,'Attacks Log'!$B$2:$B$131,4)&amp;"x / "&amp;TEXT(SUMIFS('Attacks Log'!$C$2:$C$131,'Attacks Log'!$A$2:$A$131,$A8,'Attacks Log'!$B$2:$B$131,4),"#,##0")&amp;"M")</f>
        <v/>
      </c>
      <c r="F8" s="7" t="str">
        <f aca="false">IF(COUNTIFS('Attacks Log'!$A$2:$A$131,$A8,'Attacks Log'!$B$2:$B$131,5)=0,"",COUNTIFS('Attacks Log'!$A$2:$A$131,$A8,'Attacks Log'!$B$2:$B$131,5)&amp;"x / "&amp;TEXT(SUMIFS('Attacks Log'!$C$2:$C$131,'Attacks Log'!$A$2:$A$131,$A8,'Attacks Log'!$B$2:$B$131,5),"#,##0")&amp;"M")</f>
        <v/>
      </c>
      <c r="G8" s="7" t="str">
        <f aca="false">IF(COUNTIFS('Attacks Log'!$A$2:$A$131,$A8,'Attacks Log'!$B$2:$B$131,6)=0,"",COUNTIFS('Attacks Log'!$A$2:$A$131,$A8,'Attacks Log'!$B$2:$B$131,6)&amp;"x / "&amp;TEXT(SUMIFS('Attacks Log'!$C$2:$C$131,'Attacks Log'!$A$2:$A$131,$A8,'Attacks Log'!$B$2:$B$131,6),"#,##0")&amp;"M")</f>
        <v/>
      </c>
      <c r="H8" s="7" t="str">
        <f aca="false">IF(COUNTIFS('Attacks Log'!$A$2:$A$131,$A8,'Attacks Log'!$B$2:$B$131,7)=0,"",COUNTIFS('Attacks Log'!$A$2:$A$131,$A8,'Attacks Log'!$B$2:$B$131,7)&amp;"x / "&amp;TEXT(SUMIFS('Attacks Log'!$C$2:$C$131,'Attacks Log'!$A$2:$A$131,$A8,'Attacks Log'!$B$2:$B$131,7),"#,##0")&amp;"M")</f>
        <v/>
      </c>
      <c r="I8" s="7" t="str">
        <f aca="false">IF(COUNTIFS('Attacks Log'!$A$2:$A$131,$A8,'Attacks Log'!$B$2:$B$131,8)=0,"",COUNTIFS('Attacks Log'!$A$2:$A$131,$A8,'Attacks Log'!$B$2:$B$131,8)&amp;"x / "&amp;TEXT(SUMIFS('Attacks Log'!$C$2:$C$131,'Attacks Log'!$A$2:$A$131,$A8,'Attacks Log'!$B$2:$B$131,8),"#,##0")&amp;"M")</f>
        <v>1x / 21,580M</v>
      </c>
      <c r="J8" s="7" t="str">
        <f aca="false">IF(COUNTIFS('Attacks Log'!$A$2:$A$131,$A8,'Attacks Log'!$B$2:$B$131,9)=0,"",COUNTIFS('Attacks Log'!$A$2:$A$131,$A8,'Attacks Log'!$B$2:$B$131,9)&amp;"x / "&amp;TEXT(SUMIFS('Attacks Log'!$C$2:$C$131,'Attacks Log'!$A$2:$A$131,$A8,'Attacks Log'!$B$2:$B$131,9),"#,##0")&amp;"M")</f>
        <v>1x / 14,712M</v>
      </c>
      <c r="K8" s="7" t="str">
        <f aca="false">IF(COUNTIFS('Attacks Log'!$A$2:$A$131,$A8,'Attacks Log'!$B$2:$B$131,10)=0,"",COUNTIFS('Attacks Log'!$A$2:$A$131,$A8,'Attacks Log'!$B$2:$B$131,10)&amp;"x / "&amp;TEXT(SUMIFS('Attacks Log'!$C$2:$C$131,'Attacks Log'!$A$2:$A$131,$A8,'Attacks Log'!$B$2:$B$131,10),"#,##0")&amp;"M")</f>
        <v>1x / 5,567M</v>
      </c>
      <c r="L8" s="7" t="str">
        <f aca="false">IF(COUNTIFS('Attacks Log'!$A$2:$A$131,$A8,'Attacks Log'!$B$2:$B$131,11)=0,"",COUNTIFS('Attacks Log'!$A$2:$A$131,$A8,'Attacks Log'!$B$2:$B$131,11)&amp;"x / "&amp;TEXT(SUMIFS('Attacks Log'!$C$2:$C$131,'Attacks Log'!$A$2:$A$131,$A8,'Attacks Log'!$B$2:$B$131,11),"#,##0")&amp;"M")</f>
        <v/>
      </c>
      <c r="M8" s="7" t="str">
        <f aca="false">IF(COUNTIFS('Attacks Log'!$A$2:$A$131,$A8,'Attacks Log'!$B$2:$B$131,12)=0,"",COUNTIFS('Attacks Log'!$A$2:$A$131,$A8,'Attacks Log'!$B$2:$B$131,12)&amp;"x / "&amp;TEXT(SUMIFS('Attacks Log'!$C$2:$C$131,'Attacks Log'!$A$2:$A$131,$A8,'Attacks Log'!$B$2:$B$131,12),"#,##0")&amp;"M")</f>
        <v>1x / 8,463M</v>
      </c>
      <c r="N8" s="7" t="str">
        <f aca="false">IF(COUNTIFS('Attacks Log'!$A$2:$A$131,$A8,'Attacks Log'!$B$2:$B$131,13)=0,"",COUNTIFS('Attacks Log'!$A$2:$A$131,$A8,'Attacks Log'!$B$2:$B$131,13)&amp;"x / "&amp;TEXT(SUMIFS('Attacks Log'!$C$2:$C$131,'Attacks Log'!$A$2:$A$131,$A8,'Attacks Log'!$B$2:$B$131,13),"#,##0")&amp;"M")</f>
        <v>1x / 17,793M</v>
      </c>
      <c r="O8" s="7" t="str">
        <f aca="false">IF(COUNTIFS('Attacks Log'!$A$2:$A$131,$A8,'Attacks Log'!$B$2:$B$131,14)=0,"",COUNTIFS('Attacks Log'!$A$2:$A$131,$A8,'Attacks Log'!$B$2:$B$131,14)&amp;"x / "&amp;TEXT(SUMIFS('Attacks Log'!$C$2:$C$131,'Attacks Log'!$A$2:$A$131,$A8,'Attacks Log'!$B$2:$B$131,14),"#,##0")&amp;"M")</f>
        <v>1x / 9,517M</v>
      </c>
      <c r="P8" s="7" t="str">
        <f aca="false">IF(COUNTIFS('Attacks Log'!$A$2:$A$131,$A8,'Attacks Log'!$B$2:$B$131,15)=0,"",COUNTIFS('Attacks Log'!$A$2:$A$131,$A8,'Attacks Log'!$B$2:$B$131,15)&amp;"x / "&amp;TEXT(SUMIFS('Attacks Log'!$C$2:$C$131,'Attacks Log'!$A$2:$A$131,$A8,'Attacks Log'!$B$2:$B$131,15),"#,##0")&amp;"M")</f>
        <v>1x / 20,074M</v>
      </c>
      <c r="Q8" s="7" t="str">
        <f aca="false">IF(COUNTIFS('Attacks Log'!$A$2:$A$131,$A8,'Attacks Log'!$B$2:$B$131,16)=0,"",COUNTIFS('Attacks Log'!$A$2:$A$131,$A8,'Attacks Log'!$B$2:$B$131,16)&amp;"x / "&amp;TEXT(SUMIFS('Attacks Log'!$C$2:$C$131,'Attacks Log'!$A$2:$A$131,$A8,'Attacks Log'!$B$2:$B$131,16),"#,##0")&amp;"M")</f>
        <v>1x / 545M</v>
      </c>
      <c r="R8" s="7" t="str">
        <f aca="false">IF(COUNTIFS('Attacks Log'!$A$2:$A$131,$A8,'Attacks Log'!$B$2:$B$131,17)=0,"",COUNTIFS('Attacks Log'!$A$2:$A$131,$A8,'Attacks Log'!$B$2:$B$131,17)&amp;"x / "&amp;TEXT(SUMIFS('Attacks Log'!$C$2:$C$131,'Attacks Log'!$A$2:$A$131,$A8,'Attacks Log'!$B$2:$B$131,17),"#,##0")&amp;"M")</f>
        <v>1x / 31,598M</v>
      </c>
      <c r="S8" s="7" t="str">
        <f aca="false">IF(COUNTIFS('Attacks Log'!$A$2:$A$131,$A8,'Attacks Log'!$B$2:$B$131,18)=0,"",COUNTIFS('Attacks Log'!$A$2:$A$131,$A8,'Attacks Log'!$B$2:$B$131,18)&amp;"x / "&amp;TEXT(SUMIFS('Attacks Log'!$C$2:$C$131,'Attacks Log'!$A$2:$A$131,$A8,'Attacks Log'!$B$2:$B$131,18),"#,##0")&amp;"M")</f>
        <v>1x / 30,082M</v>
      </c>
      <c r="T8" s="7" t="str">
        <f aca="false">IF(COUNTIFS('Attacks Log'!$A$2:$A$131,$A8,'Attacks Log'!$B$2:$B$131,19)=0,"",COUNTIFS('Attacks Log'!$A$2:$A$131,$A8,'Attacks Log'!$B$2:$B$131,19)&amp;"x / "&amp;TEXT(SUMIFS('Attacks Log'!$C$2:$C$131,'Attacks Log'!$A$2:$A$131,$A8,'Attacks Log'!$B$2:$B$131,19),"#,##0")&amp;"M")</f>
        <v>2x / 56,671M</v>
      </c>
      <c r="U8" s="7" t="str">
        <f aca="false">IF(COUNTIFS('Attacks Log'!$A$2:$A$131,$A8,'Attacks Log'!$B$2:$B$131,20)=0,"",COUNTIFS('Attacks Log'!$A$2:$A$131,$A8,'Attacks Log'!$B$2:$B$131,20)&amp;"x / "&amp;TEXT(SUMIFS('Attacks Log'!$C$2:$C$131,'Attacks Log'!$A$2:$A$131,$A8,'Attacks Log'!$B$2:$B$131,20),"#,##0")&amp;"M")</f>
        <v>2x / 44,243M</v>
      </c>
    </row>
    <row r="9" customFormat="false" ht="15" hidden="false" customHeight="false" outlineLevel="0" collapsed="false">
      <c r="A9" s="4" t="s">
        <v>10</v>
      </c>
      <c r="B9" s="7" t="str">
        <f aca="false">IF(COUNTIFS('Attacks Log'!$A$2:$A$131,$A9,'Attacks Log'!$B$2:$B$131,1)=0,"",COUNTIFS('Attacks Log'!$A$2:$A$131,$A9,'Attacks Log'!$B$2:$B$131,1)&amp;"x / "&amp;TEXT(SUMIFS('Attacks Log'!$C$2:$C$131,'Attacks Log'!$A$2:$A$131,$A9,'Attacks Log'!$B$2:$B$131,1),"#,##0")&amp;"M")</f>
        <v/>
      </c>
      <c r="C9" s="7" t="str">
        <f aca="false">IF(COUNTIFS('Attacks Log'!$A$2:$A$131,$A9,'Attacks Log'!$B$2:$B$131,2)=0,"",COUNTIFS('Attacks Log'!$A$2:$A$131,$A9,'Attacks Log'!$B$2:$B$131,2)&amp;"x / "&amp;TEXT(SUMIFS('Attacks Log'!$C$2:$C$131,'Attacks Log'!$A$2:$A$131,$A9,'Attacks Log'!$B$2:$B$131,2),"#,##0")&amp;"M")</f>
        <v/>
      </c>
      <c r="D9" s="7" t="str">
        <f aca="false">IF(COUNTIFS('Attacks Log'!$A$2:$A$131,$A9,'Attacks Log'!$B$2:$B$131,3)=0,"",COUNTIFS('Attacks Log'!$A$2:$A$131,$A9,'Attacks Log'!$B$2:$B$131,3)&amp;"x / "&amp;TEXT(SUMIFS('Attacks Log'!$C$2:$C$131,'Attacks Log'!$A$2:$A$131,$A9,'Attacks Log'!$B$2:$B$131,3),"#,##0")&amp;"M")</f>
        <v/>
      </c>
      <c r="E9" s="7" t="str">
        <f aca="false">IF(COUNTIFS('Attacks Log'!$A$2:$A$131,$A9,'Attacks Log'!$B$2:$B$131,4)=0,"",COUNTIFS('Attacks Log'!$A$2:$A$131,$A9,'Attacks Log'!$B$2:$B$131,4)&amp;"x / "&amp;TEXT(SUMIFS('Attacks Log'!$C$2:$C$131,'Attacks Log'!$A$2:$A$131,$A9,'Attacks Log'!$B$2:$B$131,4),"#,##0")&amp;"M")</f>
        <v/>
      </c>
      <c r="F9" s="7" t="str">
        <f aca="false">IF(COUNTIFS('Attacks Log'!$A$2:$A$131,$A9,'Attacks Log'!$B$2:$B$131,5)=0,"",COUNTIFS('Attacks Log'!$A$2:$A$131,$A9,'Attacks Log'!$B$2:$B$131,5)&amp;"x / "&amp;TEXT(SUMIFS('Attacks Log'!$C$2:$C$131,'Attacks Log'!$A$2:$A$131,$A9,'Attacks Log'!$B$2:$B$131,5),"#,##0")&amp;"M")</f>
        <v/>
      </c>
      <c r="G9" s="7" t="str">
        <f aca="false">IF(COUNTIFS('Attacks Log'!$A$2:$A$131,$A9,'Attacks Log'!$B$2:$B$131,6)=0,"",COUNTIFS('Attacks Log'!$A$2:$A$131,$A9,'Attacks Log'!$B$2:$B$131,6)&amp;"x / "&amp;TEXT(SUMIFS('Attacks Log'!$C$2:$C$131,'Attacks Log'!$A$2:$A$131,$A9,'Attacks Log'!$B$2:$B$131,6),"#,##0")&amp;"M")</f>
        <v/>
      </c>
      <c r="H9" s="7" t="str">
        <f aca="false">IF(COUNTIFS('Attacks Log'!$A$2:$A$131,$A9,'Attacks Log'!$B$2:$B$131,7)=0,"",COUNTIFS('Attacks Log'!$A$2:$A$131,$A9,'Attacks Log'!$B$2:$B$131,7)&amp;"x / "&amp;TEXT(SUMIFS('Attacks Log'!$C$2:$C$131,'Attacks Log'!$A$2:$A$131,$A9,'Attacks Log'!$B$2:$B$131,7),"#,##0")&amp;"M")</f>
        <v/>
      </c>
      <c r="I9" s="7" t="str">
        <f aca="false">IF(COUNTIFS('Attacks Log'!$A$2:$A$131,$A9,'Attacks Log'!$B$2:$B$131,8)=0,"",COUNTIFS('Attacks Log'!$A$2:$A$131,$A9,'Attacks Log'!$B$2:$B$131,8)&amp;"x / "&amp;TEXT(SUMIFS('Attacks Log'!$C$2:$C$131,'Attacks Log'!$A$2:$A$131,$A9,'Attacks Log'!$B$2:$B$131,8),"#,##0")&amp;"M")</f>
        <v/>
      </c>
      <c r="J9" s="7" t="str">
        <f aca="false">IF(COUNTIFS('Attacks Log'!$A$2:$A$131,$A9,'Attacks Log'!$B$2:$B$131,9)=0,"",COUNTIFS('Attacks Log'!$A$2:$A$131,$A9,'Attacks Log'!$B$2:$B$131,9)&amp;"x / "&amp;TEXT(SUMIFS('Attacks Log'!$C$2:$C$131,'Attacks Log'!$A$2:$A$131,$A9,'Attacks Log'!$B$2:$B$131,9),"#,##0")&amp;"M")</f>
        <v/>
      </c>
      <c r="K9" s="7" t="str">
        <f aca="false">IF(COUNTIFS('Attacks Log'!$A$2:$A$131,$A9,'Attacks Log'!$B$2:$B$131,10)=0,"",COUNTIFS('Attacks Log'!$A$2:$A$131,$A9,'Attacks Log'!$B$2:$B$131,10)&amp;"x / "&amp;TEXT(SUMIFS('Attacks Log'!$C$2:$C$131,'Attacks Log'!$A$2:$A$131,$A9,'Attacks Log'!$B$2:$B$131,10),"#,##0")&amp;"M")</f>
        <v>1x / 36,197M</v>
      </c>
      <c r="L9" s="7" t="str">
        <f aca="false">IF(COUNTIFS('Attacks Log'!$A$2:$A$131,$A9,'Attacks Log'!$B$2:$B$131,11)=0,"",COUNTIFS('Attacks Log'!$A$2:$A$131,$A9,'Attacks Log'!$B$2:$B$131,11)&amp;"x / "&amp;TEXT(SUMIFS('Attacks Log'!$C$2:$C$131,'Attacks Log'!$A$2:$A$131,$A9,'Attacks Log'!$B$2:$B$131,11),"#,##0")&amp;"M")</f>
        <v>1x / 37,907M</v>
      </c>
      <c r="M9" s="7" t="str">
        <f aca="false">IF(COUNTIFS('Attacks Log'!$A$2:$A$131,$A9,'Attacks Log'!$B$2:$B$131,12)=0,"",COUNTIFS('Attacks Log'!$A$2:$A$131,$A9,'Attacks Log'!$B$2:$B$131,12)&amp;"x / "&amp;TEXT(SUMIFS('Attacks Log'!$C$2:$C$131,'Attacks Log'!$A$2:$A$131,$A9,'Attacks Log'!$B$2:$B$131,12),"#,##0")&amp;"M")</f>
        <v>1x / 29,628M</v>
      </c>
      <c r="N9" s="7" t="str">
        <f aca="false">IF(COUNTIFS('Attacks Log'!$A$2:$A$131,$A9,'Attacks Log'!$B$2:$B$131,13)=0,"",COUNTIFS('Attacks Log'!$A$2:$A$131,$A9,'Attacks Log'!$B$2:$B$131,13)&amp;"x / "&amp;TEXT(SUMIFS('Attacks Log'!$C$2:$C$131,'Attacks Log'!$A$2:$A$131,$A9,'Attacks Log'!$B$2:$B$131,13),"#,##0")&amp;"M")</f>
        <v>2x / 39,510M</v>
      </c>
      <c r="O9" s="7" t="str">
        <f aca="false">IF(COUNTIFS('Attacks Log'!$A$2:$A$131,$A9,'Attacks Log'!$B$2:$B$131,14)=0,"",COUNTIFS('Attacks Log'!$A$2:$A$131,$A9,'Attacks Log'!$B$2:$B$131,14)&amp;"x / "&amp;TEXT(SUMIFS('Attacks Log'!$C$2:$C$131,'Attacks Log'!$A$2:$A$131,$A9,'Attacks Log'!$B$2:$B$131,14),"#,##0")&amp;"M")</f>
        <v/>
      </c>
      <c r="P9" s="7" t="str">
        <f aca="false">IF(COUNTIFS('Attacks Log'!$A$2:$A$131,$A9,'Attacks Log'!$B$2:$B$131,15)=0,"",COUNTIFS('Attacks Log'!$A$2:$A$131,$A9,'Attacks Log'!$B$2:$B$131,15)&amp;"x / "&amp;TEXT(SUMIFS('Attacks Log'!$C$2:$C$131,'Attacks Log'!$A$2:$A$131,$A9,'Attacks Log'!$B$2:$B$131,15),"#,##0")&amp;"M")</f>
        <v>1x / 46,153M</v>
      </c>
      <c r="Q9" s="7" t="str">
        <f aca="false">IF(COUNTIFS('Attacks Log'!$A$2:$A$131,$A9,'Attacks Log'!$B$2:$B$131,16)=0,"",COUNTIFS('Attacks Log'!$A$2:$A$131,$A9,'Attacks Log'!$B$2:$B$131,16)&amp;"x / "&amp;TEXT(SUMIFS('Attacks Log'!$C$2:$C$131,'Attacks Log'!$A$2:$A$131,$A9,'Attacks Log'!$B$2:$B$131,16),"#,##0")&amp;"M")</f>
        <v>1x / 34,792M</v>
      </c>
      <c r="R9" s="7" t="str">
        <f aca="false">IF(COUNTIFS('Attacks Log'!$A$2:$A$131,$A9,'Attacks Log'!$B$2:$B$131,17)=0,"",COUNTIFS('Attacks Log'!$A$2:$A$131,$A9,'Attacks Log'!$B$2:$B$131,17)&amp;"x / "&amp;TEXT(SUMIFS('Attacks Log'!$C$2:$C$131,'Attacks Log'!$A$2:$A$131,$A9,'Attacks Log'!$B$2:$B$131,17),"#,##0")&amp;"M")</f>
        <v>1x / 33,520M</v>
      </c>
      <c r="S9" s="7" t="str">
        <f aca="false">IF(COUNTIFS('Attacks Log'!$A$2:$A$131,$A9,'Attacks Log'!$B$2:$B$131,18)=0,"",COUNTIFS('Attacks Log'!$A$2:$A$131,$A9,'Attacks Log'!$B$2:$B$131,18)&amp;"x / "&amp;TEXT(SUMIFS('Attacks Log'!$C$2:$C$131,'Attacks Log'!$A$2:$A$131,$A9,'Attacks Log'!$B$2:$B$131,18),"#,##0")&amp;"M")</f>
        <v>1x / 38,779M</v>
      </c>
      <c r="T9" s="7" t="str">
        <f aca="false">IF(COUNTIFS('Attacks Log'!$A$2:$A$131,$A9,'Attacks Log'!$B$2:$B$131,19)=0,"",COUNTIFS('Attacks Log'!$A$2:$A$131,$A9,'Attacks Log'!$B$2:$B$131,19)&amp;"x / "&amp;TEXT(SUMIFS('Attacks Log'!$C$2:$C$131,'Attacks Log'!$A$2:$A$131,$A9,'Attacks Log'!$B$2:$B$131,19),"#,##0")&amp;"M")</f>
        <v>2x / 70,180M</v>
      </c>
      <c r="U9" s="7" t="str">
        <f aca="false">IF(COUNTIFS('Attacks Log'!$A$2:$A$131,$A9,'Attacks Log'!$B$2:$B$131,20)=0,"",COUNTIFS('Attacks Log'!$A$2:$A$131,$A9,'Attacks Log'!$B$2:$B$131,20)&amp;"x / "&amp;TEXT(SUMIFS('Attacks Log'!$C$2:$C$131,'Attacks Log'!$A$2:$A$131,$A9,'Attacks Log'!$B$2:$B$131,20),"#,##0")&amp;"M")</f>
        <v>2x / 78,271M</v>
      </c>
    </row>
    <row r="10" customFormat="false" ht="15" hidden="false" customHeight="false" outlineLevel="0" collapsed="false">
      <c r="A10" s="4" t="s">
        <v>11</v>
      </c>
      <c r="B10" s="7" t="str">
        <f aca="false">IF(COUNTIFS('Attacks Log'!$A$2:$A$131,$A10,'Attacks Log'!$B$2:$B$131,1)=0,"",COUNTIFS('Attacks Log'!$A$2:$A$131,$A10,'Attacks Log'!$B$2:$B$131,1)&amp;"x / "&amp;TEXT(SUMIFS('Attacks Log'!$C$2:$C$131,'Attacks Log'!$A$2:$A$131,$A10,'Attacks Log'!$B$2:$B$131,1),"#,##0")&amp;"M")</f>
        <v/>
      </c>
      <c r="C10" s="7" t="str">
        <f aca="false">IF(COUNTIFS('Attacks Log'!$A$2:$A$131,$A10,'Attacks Log'!$B$2:$B$131,2)=0,"",COUNTIFS('Attacks Log'!$A$2:$A$131,$A10,'Attacks Log'!$B$2:$B$131,2)&amp;"x / "&amp;TEXT(SUMIFS('Attacks Log'!$C$2:$C$131,'Attacks Log'!$A$2:$A$131,$A10,'Attacks Log'!$B$2:$B$131,2),"#,##0")&amp;"M")</f>
        <v/>
      </c>
      <c r="D10" s="7" t="str">
        <f aca="false">IF(COUNTIFS('Attacks Log'!$A$2:$A$131,$A10,'Attacks Log'!$B$2:$B$131,3)=0,"",COUNTIFS('Attacks Log'!$A$2:$A$131,$A10,'Attacks Log'!$B$2:$B$131,3)&amp;"x / "&amp;TEXT(SUMIFS('Attacks Log'!$C$2:$C$131,'Attacks Log'!$A$2:$A$131,$A10,'Attacks Log'!$B$2:$B$131,3),"#,##0")&amp;"M")</f>
        <v/>
      </c>
      <c r="E10" s="7" t="str">
        <f aca="false">IF(COUNTIFS('Attacks Log'!$A$2:$A$131,$A10,'Attacks Log'!$B$2:$B$131,4)=0,"",COUNTIFS('Attacks Log'!$A$2:$A$131,$A10,'Attacks Log'!$B$2:$B$131,4)&amp;"x / "&amp;TEXT(SUMIFS('Attacks Log'!$C$2:$C$131,'Attacks Log'!$A$2:$A$131,$A10,'Attacks Log'!$B$2:$B$131,4),"#,##0")&amp;"M")</f>
        <v/>
      </c>
      <c r="F10" s="7" t="str">
        <f aca="false">IF(COUNTIFS('Attacks Log'!$A$2:$A$131,$A10,'Attacks Log'!$B$2:$B$131,5)=0,"",COUNTIFS('Attacks Log'!$A$2:$A$131,$A10,'Attacks Log'!$B$2:$B$131,5)&amp;"x / "&amp;TEXT(SUMIFS('Attacks Log'!$C$2:$C$131,'Attacks Log'!$A$2:$A$131,$A10,'Attacks Log'!$B$2:$B$131,5),"#,##0")&amp;"M")</f>
        <v/>
      </c>
      <c r="G10" s="7" t="str">
        <f aca="false">IF(COUNTIFS('Attacks Log'!$A$2:$A$131,$A10,'Attacks Log'!$B$2:$B$131,6)=0,"",COUNTIFS('Attacks Log'!$A$2:$A$131,$A10,'Attacks Log'!$B$2:$B$131,6)&amp;"x / "&amp;TEXT(SUMIFS('Attacks Log'!$C$2:$C$131,'Attacks Log'!$A$2:$A$131,$A10,'Attacks Log'!$B$2:$B$131,6),"#,##0")&amp;"M")</f>
        <v/>
      </c>
      <c r="H10" s="7" t="str">
        <f aca="false">IF(COUNTIFS('Attacks Log'!$A$2:$A$131,$A10,'Attacks Log'!$B$2:$B$131,7)=0,"",COUNTIFS('Attacks Log'!$A$2:$A$131,$A10,'Attacks Log'!$B$2:$B$131,7)&amp;"x / "&amp;TEXT(SUMIFS('Attacks Log'!$C$2:$C$131,'Attacks Log'!$A$2:$A$131,$A10,'Attacks Log'!$B$2:$B$131,7),"#,##0")&amp;"M")</f>
        <v/>
      </c>
      <c r="I10" s="7" t="str">
        <f aca="false">IF(COUNTIFS('Attacks Log'!$A$2:$A$131,$A10,'Attacks Log'!$B$2:$B$131,8)=0,"",COUNTIFS('Attacks Log'!$A$2:$A$131,$A10,'Attacks Log'!$B$2:$B$131,8)&amp;"x / "&amp;TEXT(SUMIFS('Attacks Log'!$C$2:$C$131,'Attacks Log'!$A$2:$A$131,$A10,'Attacks Log'!$B$2:$B$131,8),"#,##0")&amp;"M")</f>
        <v/>
      </c>
      <c r="J10" s="7" t="str">
        <f aca="false">IF(COUNTIFS('Attacks Log'!$A$2:$A$131,$A10,'Attacks Log'!$B$2:$B$131,9)=0,"",COUNTIFS('Attacks Log'!$A$2:$A$131,$A10,'Attacks Log'!$B$2:$B$131,9)&amp;"x / "&amp;TEXT(SUMIFS('Attacks Log'!$C$2:$C$131,'Attacks Log'!$A$2:$A$131,$A10,'Attacks Log'!$B$2:$B$131,9),"#,##0")&amp;"M")</f>
        <v/>
      </c>
      <c r="K10" s="7" t="str">
        <f aca="false">IF(COUNTIFS('Attacks Log'!$A$2:$A$131,$A10,'Attacks Log'!$B$2:$B$131,10)=0,"",COUNTIFS('Attacks Log'!$A$2:$A$131,$A10,'Attacks Log'!$B$2:$B$131,10)&amp;"x / "&amp;TEXT(SUMIFS('Attacks Log'!$C$2:$C$131,'Attacks Log'!$A$2:$A$131,$A10,'Attacks Log'!$B$2:$B$131,10),"#,##0")&amp;"M")</f>
        <v/>
      </c>
      <c r="L10" s="7" t="str">
        <f aca="false">IF(COUNTIFS('Attacks Log'!$A$2:$A$131,$A10,'Attacks Log'!$B$2:$B$131,11)=0,"",COUNTIFS('Attacks Log'!$A$2:$A$131,$A10,'Attacks Log'!$B$2:$B$131,11)&amp;"x / "&amp;TEXT(SUMIFS('Attacks Log'!$C$2:$C$131,'Attacks Log'!$A$2:$A$131,$A10,'Attacks Log'!$B$2:$B$131,11),"#,##0")&amp;"M")</f>
        <v>1x / 31,351M</v>
      </c>
      <c r="M10" s="7" t="str">
        <f aca="false">IF(COUNTIFS('Attacks Log'!$A$2:$A$131,$A10,'Attacks Log'!$B$2:$B$131,12)=0,"",COUNTIFS('Attacks Log'!$A$2:$A$131,$A10,'Attacks Log'!$B$2:$B$131,12)&amp;"x / "&amp;TEXT(SUMIFS('Attacks Log'!$C$2:$C$131,'Attacks Log'!$A$2:$A$131,$A10,'Attacks Log'!$B$2:$B$131,12),"#,##0")&amp;"M")</f>
        <v>1x / 32,456M</v>
      </c>
      <c r="N10" s="7" t="str">
        <f aca="false">IF(COUNTIFS('Attacks Log'!$A$2:$A$131,$A10,'Attacks Log'!$B$2:$B$131,13)=0,"",COUNTIFS('Attacks Log'!$A$2:$A$131,$A10,'Attacks Log'!$B$2:$B$131,13)&amp;"x / "&amp;TEXT(SUMIFS('Attacks Log'!$C$2:$C$131,'Attacks Log'!$A$2:$A$131,$A10,'Attacks Log'!$B$2:$B$131,13),"#,##0")&amp;"M")</f>
        <v>1x / 58,240M</v>
      </c>
      <c r="O10" s="7" t="str">
        <f aca="false">IF(COUNTIFS('Attacks Log'!$A$2:$A$131,$A10,'Attacks Log'!$B$2:$B$131,14)=0,"",COUNTIFS('Attacks Log'!$A$2:$A$131,$A10,'Attacks Log'!$B$2:$B$131,14)&amp;"x / "&amp;TEXT(SUMIFS('Attacks Log'!$C$2:$C$131,'Attacks Log'!$A$2:$A$131,$A10,'Attacks Log'!$B$2:$B$131,14),"#,##0")&amp;"M")</f>
        <v>2x / 73,978M</v>
      </c>
      <c r="P10" s="7" t="str">
        <f aca="false">IF(COUNTIFS('Attacks Log'!$A$2:$A$131,$A10,'Attacks Log'!$B$2:$B$131,15)=0,"",COUNTIFS('Attacks Log'!$A$2:$A$131,$A10,'Attacks Log'!$B$2:$B$131,15)&amp;"x / "&amp;TEXT(SUMIFS('Attacks Log'!$C$2:$C$131,'Attacks Log'!$A$2:$A$131,$A10,'Attacks Log'!$B$2:$B$131,15),"#,##0")&amp;"M")</f>
        <v>1x / 33,210M</v>
      </c>
      <c r="Q10" s="7" t="str">
        <f aca="false">IF(COUNTIFS('Attacks Log'!$A$2:$A$131,$A10,'Attacks Log'!$B$2:$B$131,16)=0,"",COUNTIFS('Attacks Log'!$A$2:$A$131,$A10,'Attacks Log'!$B$2:$B$131,16)&amp;"x / "&amp;TEXT(SUMIFS('Attacks Log'!$C$2:$C$131,'Attacks Log'!$A$2:$A$131,$A10,'Attacks Log'!$B$2:$B$131,16),"#,##0")&amp;"M")</f>
        <v>1x / 48,506M</v>
      </c>
      <c r="R10" s="7" t="str">
        <f aca="false">IF(COUNTIFS('Attacks Log'!$A$2:$A$131,$A10,'Attacks Log'!$B$2:$B$131,17)=0,"",COUNTIFS('Attacks Log'!$A$2:$A$131,$A10,'Attacks Log'!$B$2:$B$131,17)&amp;"x / "&amp;TEXT(SUMIFS('Attacks Log'!$C$2:$C$131,'Attacks Log'!$A$2:$A$131,$A10,'Attacks Log'!$B$2:$B$131,17),"#,##0")&amp;"M")</f>
        <v>1x / 47,637M</v>
      </c>
      <c r="S10" s="7" t="str">
        <f aca="false">IF(COUNTIFS('Attacks Log'!$A$2:$A$131,$A10,'Attacks Log'!$B$2:$B$131,18)=0,"",COUNTIFS('Attacks Log'!$A$2:$A$131,$A10,'Attacks Log'!$B$2:$B$131,18)&amp;"x / "&amp;TEXT(SUMIFS('Attacks Log'!$C$2:$C$131,'Attacks Log'!$A$2:$A$131,$A10,'Attacks Log'!$B$2:$B$131,18),"#,##0")&amp;"M")</f>
        <v>2x / 48,381M</v>
      </c>
      <c r="T10" s="7" t="str">
        <f aca="false">IF(COUNTIFS('Attacks Log'!$A$2:$A$131,$A10,'Attacks Log'!$B$2:$B$131,19)=0,"",COUNTIFS('Attacks Log'!$A$2:$A$131,$A10,'Attacks Log'!$B$2:$B$131,19)&amp;"x / "&amp;TEXT(SUMIFS('Attacks Log'!$C$2:$C$131,'Attacks Log'!$A$2:$A$131,$A10,'Attacks Log'!$B$2:$B$131,19),"#,##0")&amp;"M")</f>
        <v>2x / 48,610M</v>
      </c>
      <c r="U10" s="7" t="str">
        <f aca="false">IF(COUNTIFS('Attacks Log'!$A$2:$A$131,$A10,'Attacks Log'!$B$2:$B$131,20)=0,"",COUNTIFS('Attacks Log'!$A$2:$A$131,$A10,'Attacks Log'!$B$2:$B$131,20)&amp;"x / "&amp;TEXT(SUMIFS('Attacks Log'!$C$2:$C$131,'Attacks Log'!$A$2:$A$131,$A10,'Attacks Log'!$B$2:$B$131,20),"#,##0")&amp;"M")</f>
        <v>1x / 37,871M</v>
      </c>
    </row>
    <row r="11" customFormat="false" ht="15" hidden="false" customHeight="false" outlineLevel="0" collapsed="false">
      <c r="A11" s="4" t="s">
        <v>12</v>
      </c>
      <c r="B11" s="7" t="str">
        <f aca="false">IF(COUNTIFS('Attacks Log'!$A$2:$A$131,$A11,'Attacks Log'!$B$2:$B$131,1)=0,"",COUNTIFS('Attacks Log'!$A$2:$A$131,$A11,'Attacks Log'!$B$2:$B$131,1)&amp;"x / "&amp;TEXT(SUMIFS('Attacks Log'!$C$2:$C$131,'Attacks Log'!$A$2:$A$131,$A11,'Attacks Log'!$B$2:$B$131,1),"#,##0")&amp;"M")</f>
        <v/>
      </c>
      <c r="C11" s="7" t="str">
        <f aca="false">IF(COUNTIFS('Attacks Log'!$A$2:$A$131,$A11,'Attacks Log'!$B$2:$B$131,2)=0,"",COUNTIFS('Attacks Log'!$A$2:$A$131,$A11,'Attacks Log'!$B$2:$B$131,2)&amp;"x / "&amp;TEXT(SUMIFS('Attacks Log'!$C$2:$C$131,'Attacks Log'!$A$2:$A$131,$A11,'Attacks Log'!$B$2:$B$131,2),"#,##0")&amp;"M")</f>
        <v/>
      </c>
      <c r="D11" s="7" t="str">
        <f aca="false">IF(COUNTIFS('Attacks Log'!$A$2:$A$131,$A11,'Attacks Log'!$B$2:$B$131,3)=0,"",COUNTIFS('Attacks Log'!$A$2:$A$131,$A11,'Attacks Log'!$B$2:$B$131,3)&amp;"x / "&amp;TEXT(SUMIFS('Attacks Log'!$C$2:$C$131,'Attacks Log'!$A$2:$A$131,$A11,'Attacks Log'!$B$2:$B$131,3),"#,##0")&amp;"M")</f>
        <v/>
      </c>
      <c r="E11" s="7" t="str">
        <f aca="false">IF(COUNTIFS('Attacks Log'!$A$2:$A$131,$A11,'Attacks Log'!$B$2:$B$131,4)=0,"",COUNTIFS('Attacks Log'!$A$2:$A$131,$A11,'Attacks Log'!$B$2:$B$131,4)&amp;"x / "&amp;TEXT(SUMIFS('Attacks Log'!$C$2:$C$131,'Attacks Log'!$A$2:$A$131,$A11,'Attacks Log'!$B$2:$B$131,4),"#,##0")&amp;"M")</f>
        <v/>
      </c>
      <c r="F11" s="7" t="str">
        <f aca="false">IF(COUNTIFS('Attacks Log'!$A$2:$A$131,$A11,'Attacks Log'!$B$2:$B$131,5)=0,"",COUNTIFS('Attacks Log'!$A$2:$A$131,$A11,'Attacks Log'!$B$2:$B$131,5)&amp;"x / "&amp;TEXT(SUMIFS('Attacks Log'!$C$2:$C$131,'Attacks Log'!$A$2:$A$131,$A11,'Attacks Log'!$B$2:$B$131,5),"#,##0")&amp;"M")</f>
        <v/>
      </c>
      <c r="G11" s="7" t="str">
        <f aca="false">IF(COUNTIFS('Attacks Log'!$A$2:$A$131,$A11,'Attacks Log'!$B$2:$B$131,6)=0,"",COUNTIFS('Attacks Log'!$A$2:$A$131,$A11,'Attacks Log'!$B$2:$B$131,6)&amp;"x / "&amp;TEXT(SUMIFS('Attacks Log'!$C$2:$C$131,'Attacks Log'!$A$2:$A$131,$A11,'Attacks Log'!$B$2:$B$131,6),"#,##0")&amp;"M")</f>
        <v/>
      </c>
      <c r="H11" s="7" t="str">
        <f aca="false">IF(COUNTIFS('Attacks Log'!$A$2:$A$131,$A11,'Attacks Log'!$B$2:$B$131,7)=0,"",COUNTIFS('Attacks Log'!$A$2:$A$131,$A11,'Attacks Log'!$B$2:$B$131,7)&amp;"x / "&amp;TEXT(SUMIFS('Attacks Log'!$C$2:$C$131,'Attacks Log'!$A$2:$A$131,$A11,'Attacks Log'!$B$2:$B$131,7),"#,##0")&amp;"M")</f>
        <v/>
      </c>
      <c r="I11" s="7" t="str">
        <f aca="false">IF(COUNTIFS('Attacks Log'!$A$2:$A$131,$A11,'Attacks Log'!$B$2:$B$131,8)=0,"",COUNTIFS('Attacks Log'!$A$2:$A$131,$A11,'Attacks Log'!$B$2:$B$131,8)&amp;"x / "&amp;TEXT(SUMIFS('Attacks Log'!$C$2:$C$131,'Attacks Log'!$A$2:$A$131,$A11,'Attacks Log'!$B$2:$B$131,8),"#,##0")&amp;"M")</f>
        <v/>
      </c>
      <c r="J11" s="7" t="str">
        <f aca="false">IF(COUNTIFS('Attacks Log'!$A$2:$A$131,$A11,'Attacks Log'!$B$2:$B$131,9)=0,"",COUNTIFS('Attacks Log'!$A$2:$A$131,$A11,'Attacks Log'!$B$2:$B$131,9)&amp;"x / "&amp;TEXT(SUMIFS('Attacks Log'!$C$2:$C$131,'Attacks Log'!$A$2:$A$131,$A11,'Attacks Log'!$B$2:$B$131,9),"#,##0")&amp;"M")</f>
        <v/>
      </c>
      <c r="K11" s="7" t="str">
        <f aca="false">IF(COUNTIFS('Attacks Log'!$A$2:$A$131,$A11,'Attacks Log'!$B$2:$B$131,10)=0,"",COUNTIFS('Attacks Log'!$A$2:$A$131,$A11,'Attacks Log'!$B$2:$B$131,10)&amp;"x / "&amp;TEXT(SUMIFS('Attacks Log'!$C$2:$C$131,'Attacks Log'!$A$2:$A$131,$A11,'Attacks Log'!$B$2:$B$131,10),"#,##0")&amp;"M")</f>
        <v/>
      </c>
      <c r="L11" s="7" t="str">
        <f aca="false">IF(COUNTIFS('Attacks Log'!$A$2:$A$131,$A11,'Attacks Log'!$B$2:$B$131,11)=0,"",COUNTIFS('Attacks Log'!$A$2:$A$131,$A11,'Attacks Log'!$B$2:$B$131,11)&amp;"x / "&amp;TEXT(SUMIFS('Attacks Log'!$C$2:$C$131,'Attacks Log'!$A$2:$A$131,$A11,'Attacks Log'!$B$2:$B$131,11),"#,##0")&amp;"M")</f>
        <v/>
      </c>
      <c r="M11" s="7" t="str">
        <f aca="false">IF(COUNTIFS('Attacks Log'!$A$2:$A$131,$A11,'Attacks Log'!$B$2:$B$131,12)=0,"",COUNTIFS('Attacks Log'!$A$2:$A$131,$A11,'Attacks Log'!$B$2:$B$131,12)&amp;"x / "&amp;TEXT(SUMIFS('Attacks Log'!$C$2:$C$131,'Attacks Log'!$A$2:$A$131,$A11,'Attacks Log'!$B$2:$B$131,12),"#,##0")&amp;"M")</f>
        <v/>
      </c>
      <c r="N11" s="7" t="str">
        <f aca="false">IF(COUNTIFS('Attacks Log'!$A$2:$A$131,$A11,'Attacks Log'!$B$2:$B$131,13)=0,"",COUNTIFS('Attacks Log'!$A$2:$A$131,$A11,'Attacks Log'!$B$2:$B$131,13)&amp;"x / "&amp;TEXT(SUMIFS('Attacks Log'!$C$2:$C$131,'Attacks Log'!$A$2:$A$131,$A11,'Attacks Log'!$B$2:$B$131,13),"#,##0")&amp;"M")</f>
        <v/>
      </c>
      <c r="O11" s="7" t="str">
        <f aca="false">IF(COUNTIFS('Attacks Log'!$A$2:$A$131,$A11,'Attacks Log'!$B$2:$B$131,14)=0,"",COUNTIFS('Attacks Log'!$A$2:$A$131,$A11,'Attacks Log'!$B$2:$B$131,14)&amp;"x / "&amp;TEXT(SUMIFS('Attacks Log'!$C$2:$C$131,'Attacks Log'!$A$2:$A$131,$A11,'Attacks Log'!$B$2:$B$131,14),"#,##0")&amp;"M")</f>
        <v>5x / 30,220M</v>
      </c>
      <c r="P11" s="7" t="str">
        <f aca="false">IF(COUNTIFS('Attacks Log'!$A$2:$A$131,$A11,'Attacks Log'!$B$2:$B$131,15)=0,"",COUNTIFS('Attacks Log'!$A$2:$A$131,$A11,'Attacks Log'!$B$2:$B$131,15)&amp;"x / "&amp;TEXT(SUMIFS('Attacks Log'!$C$2:$C$131,'Attacks Log'!$A$2:$A$131,$A11,'Attacks Log'!$B$2:$B$131,15),"#,##0")&amp;"M")</f>
        <v>1x / 9,015M</v>
      </c>
      <c r="Q11" s="7" t="str">
        <f aca="false">IF(COUNTIFS('Attacks Log'!$A$2:$A$131,$A11,'Attacks Log'!$B$2:$B$131,16)=0,"",COUNTIFS('Attacks Log'!$A$2:$A$131,$A11,'Attacks Log'!$B$2:$B$131,16)&amp;"x / "&amp;TEXT(SUMIFS('Attacks Log'!$C$2:$C$131,'Attacks Log'!$A$2:$A$131,$A11,'Attacks Log'!$B$2:$B$131,16),"#,##0")&amp;"M")</f>
        <v>1x / 10,308M</v>
      </c>
      <c r="R11" s="7" t="str">
        <f aca="false">IF(COUNTIFS('Attacks Log'!$A$2:$A$131,$A11,'Attacks Log'!$B$2:$B$131,17)=0,"",COUNTIFS('Attacks Log'!$A$2:$A$131,$A11,'Attacks Log'!$B$2:$B$131,17)&amp;"x / "&amp;TEXT(SUMIFS('Attacks Log'!$C$2:$C$131,'Attacks Log'!$A$2:$A$131,$A11,'Attacks Log'!$B$2:$B$131,17),"#,##0")&amp;"M")</f>
        <v>1x / 8,149M</v>
      </c>
      <c r="S11" s="7" t="str">
        <f aca="false">IF(COUNTIFS('Attacks Log'!$A$2:$A$131,$A11,'Attacks Log'!$B$2:$B$131,18)=0,"",COUNTIFS('Attacks Log'!$A$2:$A$131,$A11,'Attacks Log'!$B$2:$B$131,18)&amp;"x / "&amp;TEXT(SUMIFS('Attacks Log'!$C$2:$C$131,'Attacks Log'!$A$2:$A$131,$A11,'Attacks Log'!$B$2:$B$131,18),"#,##0")&amp;"M")</f>
        <v>2x / 17,899M</v>
      </c>
      <c r="T11" s="7" t="str">
        <f aca="false">IF(COUNTIFS('Attacks Log'!$A$2:$A$131,$A11,'Attacks Log'!$B$2:$B$131,19)=0,"",COUNTIFS('Attacks Log'!$A$2:$A$131,$A11,'Attacks Log'!$B$2:$B$131,19)&amp;"x / "&amp;TEXT(SUMIFS('Attacks Log'!$C$2:$C$131,'Attacks Log'!$A$2:$A$131,$A11,'Attacks Log'!$B$2:$B$131,19),"#,##0")&amp;"M")</f>
        <v>1x / 7,641M</v>
      </c>
      <c r="U11" s="7" t="str">
        <f aca="false">IF(COUNTIFS('Attacks Log'!$A$2:$A$131,$A11,'Attacks Log'!$B$2:$B$131,20)=0,"",COUNTIFS('Attacks Log'!$A$2:$A$131,$A11,'Attacks Log'!$B$2:$B$131,20)&amp;"x / "&amp;TEXT(SUMIFS('Attacks Log'!$C$2:$C$131,'Attacks Log'!$A$2:$A$131,$A11,'Attacks Log'!$B$2:$B$131,20),"#,##0")&amp;"M")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2026-08-27T08:25:32Z</dcterms:created>
  <dc:creator>openpyxl</dc:creator>
  <dc:description/>
  <dc:language>en-US</dc:language>
  <cp:lastModifiedBy/>
  <dcterms:modified xsi:type="dcterms:W3CDTF">2026-08-27T08:25:32Z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